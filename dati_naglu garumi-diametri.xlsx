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ira\Desktop\Jauna mape\VA\"/>
    </mc:Choice>
  </mc:AlternateContent>
  <bookViews>
    <workbookView xWindow="0" yWindow="0" windowWidth="20490" windowHeight="7755" activeTab="1"/>
  </bookViews>
  <sheets>
    <sheet name="Lapa1" sheetId="1" r:id="rId1"/>
    <sheet name="Lapa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2" l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Q53" i="2"/>
  <c r="Q61" i="2"/>
  <c r="Q77" i="2"/>
  <c r="Q81" i="2"/>
  <c r="Q85" i="2"/>
  <c r="Q37" i="2"/>
  <c r="Q41" i="2"/>
  <c r="Q5" i="2"/>
  <c r="Q9" i="2"/>
  <c r="Q13" i="2"/>
  <c r="Q17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2" i="2"/>
  <c r="I92" i="2"/>
  <c r="B92" i="2"/>
  <c r="J82" i="2"/>
  <c r="K82" i="2" s="1"/>
  <c r="L82" i="2" s="1"/>
  <c r="M82" i="2" s="1"/>
  <c r="N82" i="2" s="1"/>
  <c r="J83" i="2"/>
  <c r="J84" i="2"/>
  <c r="K84" i="2" s="1"/>
  <c r="L84" i="2" s="1"/>
  <c r="M84" i="2" s="1"/>
  <c r="N84" i="2" s="1"/>
  <c r="J85" i="2"/>
  <c r="J86" i="2"/>
  <c r="K86" i="2" s="1"/>
  <c r="L86" i="2" s="1"/>
  <c r="M86" i="2" s="1"/>
  <c r="N86" i="2" s="1"/>
  <c r="J87" i="2"/>
  <c r="K87" i="2" s="1"/>
  <c r="L87" i="2" s="1"/>
  <c r="M87" i="2" s="1"/>
  <c r="N87" i="2" s="1"/>
  <c r="J88" i="2"/>
  <c r="K88" i="2" s="1"/>
  <c r="L88" i="2" s="1"/>
  <c r="M88" i="2" s="1"/>
  <c r="N88" i="2" s="1"/>
  <c r="J89" i="2"/>
  <c r="J90" i="2"/>
  <c r="K90" i="2" s="1"/>
  <c r="L90" i="2" s="1"/>
  <c r="M90" i="2" s="1"/>
  <c r="N90" i="2" s="1"/>
  <c r="J91" i="2"/>
  <c r="J75" i="2"/>
  <c r="J76" i="2"/>
  <c r="K76" i="2" s="1"/>
  <c r="L76" i="2" s="1"/>
  <c r="M76" i="2" s="1"/>
  <c r="N76" i="2" s="1"/>
  <c r="J77" i="2"/>
  <c r="K77" i="2" s="1"/>
  <c r="L77" i="2" s="1"/>
  <c r="M77" i="2" s="1"/>
  <c r="N77" i="2" s="1"/>
  <c r="J78" i="2"/>
  <c r="K78" i="2" s="1"/>
  <c r="L78" i="2" s="1"/>
  <c r="M78" i="2" s="1"/>
  <c r="N78" i="2" s="1"/>
  <c r="J79" i="2"/>
  <c r="K79" i="2" s="1"/>
  <c r="L79" i="2" s="1"/>
  <c r="M79" i="2" s="1"/>
  <c r="N79" i="2" s="1"/>
  <c r="J80" i="2"/>
  <c r="K80" i="2" s="1"/>
  <c r="L80" i="2" s="1"/>
  <c r="M80" i="2" s="1"/>
  <c r="N80" i="2" s="1"/>
  <c r="J81" i="2"/>
  <c r="J65" i="2"/>
  <c r="K65" i="2" s="1"/>
  <c r="L65" i="2" s="1"/>
  <c r="M65" i="2" s="1"/>
  <c r="N65" i="2" s="1"/>
  <c r="J66" i="2"/>
  <c r="K66" i="2" s="1"/>
  <c r="L66" i="2" s="1"/>
  <c r="M66" i="2" s="1"/>
  <c r="N66" i="2" s="1"/>
  <c r="J67" i="2"/>
  <c r="K67" i="2" s="1"/>
  <c r="L67" i="2" s="1"/>
  <c r="M67" i="2" s="1"/>
  <c r="N67" i="2" s="1"/>
  <c r="J68" i="2"/>
  <c r="K68" i="2" s="1"/>
  <c r="L68" i="2" s="1"/>
  <c r="M68" i="2" s="1"/>
  <c r="N68" i="2" s="1"/>
  <c r="J69" i="2"/>
  <c r="K69" i="2" s="1"/>
  <c r="L69" i="2" s="1"/>
  <c r="M69" i="2" s="1"/>
  <c r="N69" i="2" s="1"/>
  <c r="Q69" i="2" s="1"/>
  <c r="J70" i="2"/>
  <c r="K70" i="2" s="1"/>
  <c r="L70" i="2" s="1"/>
  <c r="M70" i="2" s="1"/>
  <c r="N70" i="2" s="1"/>
  <c r="J71" i="2"/>
  <c r="K71" i="2" s="1"/>
  <c r="L71" i="2" s="1"/>
  <c r="M71" i="2" s="1"/>
  <c r="N71" i="2" s="1"/>
  <c r="J72" i="2"/>
  <c r="K72" i="2" s="1"/>
  <c r="L72" i="2" s="1"/>
  <c r="M72" i="2" s="1"/>
  <c r="N72" i="2" s="1"/>
  <c r="J73" i="2"/>
  <c r="J74" i="2"/>
  <c r="K74" i="2" s="1"/>
  <c r="L74" i="2" s="1"/>
  <c r="M74" i="2" s="1"/>
  <c r="N74" i="2" s="1"/>
  <c r="J56" i="2"/>
  <c r="J57" i="2"/>
  <c r="K57" i="2" s="1"/>
  <c r="L57" i="2" s="1"/>
  <c r="M57" i="2" s="1"/>
  <c r="N57" i="2" s="1"/>
  <c r="J58" i="2"/>
  <c r="K58" i="2" s="1"/>
  <c r="L58" i="2" s="1"/>
  <c r="M58" i="2" s="1"/>
  <c r="N58" i="2" s="1"/>
  <c r="J59" i="2"/>
  <c r="K59" i="2" s="1"/>
  <c r="L59" i="2" s="1"/>
  <c r="M59" i="2" s="1"/>
  <c r="N59" i="2" s="1"/>
  <c r="J60" i="2"/>
  <c r="J61" i="2"/>
  <c r="K61" i="2" s="1"/>
  <c r="L61" i="2" s="1"/>
  <c r="M61" i="2" s="1"/>
  <c r="N61" i="2" s="1"/>
  <c r="J62" i="2"/>
  <c r="K62" i="2" s="1"/>
  <c r="L62" i="2" s="1"/>
  <c r="M62" i="2" s="1"/>
  <c r="N62" i="2" s="1"/>
  <c r="J63" i="2"/>
  <c r="K63" i="2" s="1"/>
  <c r="L63" i="2" s="1"/>
  <c r="M63" i="2" s="1"/>
  <c r="N63" i="2" s="1"/>
  <c r="J64" i="2"/>
  <c r="J45" i="2"/>
  <c r="K45" i="2" s="1"/>
  <c r="L45" i="2" s="1"/>
  <c r="M45" i="2" s="1"/>
  <c r="N45" i="2" s="1"/>
  <c r="J46" i="2"/>
  <c r="K46" i="2" s="1"/>
  <c r="L46" i="2" s="1"/>
  <c r="M46" i="2" s="1"/>
  <c r="N46" i="2" s="1"/>
  <c r="J47" i="2"/>
  <c r="K47" i="2" s="1"/>
  <c r="L47" i="2" s="1"/>
  <c r="M47" i="2" s="1"/>
  <c r="N47" i="2" s="1"/>
  <c r="J48" i="2"/>
  <c r="J49" i="2"/>
  <c r="J50" i="2"/>
  <c r="J51" i="2"/>
  <c r="K51" i="2" s="1"/>
  <c r="L51" i="2" s="1"/>
  <c r="M51" i="2" s="1"/>
  <c r="N51" i="2" s="1"/>
  <c r="J52" i="2"/>
  <c r="J53" i="2"/>
  <c r="K53" i="2" s="1"/>
  <c r="L53" i="2" s="1"/>
  <c r="M53" i="2" s="1"/>
  <c r="N53" i="2" s="1"/>
  <c r="J54" i="2"/>
  <c r="K54" i="2" s="1"/>
  <c r="L54" i="2" s="1"/>
  <c r="M54" i="2" s="1"/>
  <c r="N54" i="2" s="1"/>
  <c r="J55" i="2"/>
  <c r="K55" i="2" s="1"/>
  <c r="L55" i="2" s="1"/>
  <c r="M55" i="2" s="1"/>
  <c r="N55" i="2" s="1"/>
  <c r="J30" i="2"/>
  <c r="J31" i="2"/>
  <c r="K31" i="2" s="1"/>
  <c r="L31" i="2" s="1"/>
  <c r="M31" i="2" s="1"/>
  <c r="N31" i="2" s="1"/>
  <c r="J32" i="2"/>
  <c r="K32" i="2" s="1"/>
  <c r="L32" i="2" s="1"/>
  <c r="M32" i="2" s="1"/>
  <c r="N32" i="2" s="1"/>
  <c r="J33" i="2"/>
  <c r="K33" i="2" s="1"/>
  <c r="L33" i="2" s="1"/>
  <c r="M33" i="2" s="1"/>
  <c r="N33" i="2" s="1"/>
  <c r="J34" i="2"/>
  <c r="J35" i="2"/>
  <c r="K35" i="2" s="1"/>
  <c r="L35" i="2" s="1"/>
  <c r="M35" i="2" s="1"/>
  <c r="N35" i="2" s="1"/>
  <c r="J36" i="2"/>
  <c r="K36" i="2" s="1"/>
  <c r="L36" i="2" s="1"/>
  <c r="M36" i="2" s="1"/>
  <c r="N36" i="2" s="1"/>
  <c r="J37" i="2"/>
  <c r="K37" i="2" s="1"/>
  <c r="L37" i="2" s="1"/>
  <c r="M37" i="2" s="1"/>
  <c r="N37" i="2" s="1"/>
  <c r="J38" i="2"/>
  <c r="J39" i="2"/>
  <c r="J40" i="2"/>
  <c r="K40" i="2" s="1"/>
  <c r="L40" i="2" s="1"/>
  <c r="M40" i="2" s="1"/>
  <c r="N40" i="2" s="1"/>
  <c r="J41" i="2"/>
  <c r="K41" i="2" s="1"/>
  <c r="L41" i="2" s="1"/>
  <c r="M41" i="2" s="1"/>
  <c r="N41" i="2" s="1"/>
  <c r="J42" i="2"/>
  <c r="J43" i="2"/>
  <c r="K43" i="2" s="1"/>
  <c r="L43" i="2" s="1"/>
  <c r="M43" i="2" s="1"/>
  <c r="N43" i="2" s="1"/>
  <c r="J44" i="2"/>
  <c r="J16" i="2"/>
  <c r="K16" i="2" s="1"/>
  <c r="L16" i="2" s="1"/>
  <c r="M16" i="2" s="1"/>
  <c r="N16" i="2" s="1"/>
  <c r="J17" i="2"/>
  <c r="K17" i="2" s="1"/>
  <c r="L17" i="2" s="1"/>
  <c r="M17" i="2" s="1"/>
  <c r="N17" i="2" s="1"/>
  <c r="J18" i="2"/>
  <c r="K18" i="2" s="1"/>
  <c r="L18" i="2" s="1"/>
  <c r="M18" i="2" s="1"/>
  <c r="N18" i="2" s="1"/>
  <c r="J19" i="2"/>
  <c r="K19" i="2" s="1"/>
  <c r="L19" i="2" s="1"/>
  <c r="M19" i="2" s="1"/>
  <c r="N19" i="2" s="1"/>
  <c r="J20" i="2"/>
  <c r="K20" i="2" s="1"/>
  <c r="L20" i="2" s="1"/>
  <c r="M20" i="2" s="1"/>
  <c r="N20" i="2" s="1"/>
  <c r="J21" i="2"/>
  <c r="K21" i="2" s="1"/>
  <c r="L21" i="2" s="1"/>
  <c r="M21" i="2" s="1"/>
  <c r="N21" i="2" s="1"/>
  <c r="J22" i="2"/>
  <c r="K22" i="2" s="1"/>
  <c r="L22" i="2" s="1"/>
  <c r="M22" i="2" s="1"/>
  <c r="N22" i="2" s="1"/>
  <c r="J23" i="2"/>
  <c r="K23" i="2" s="1"/>
  <c r="L23" i="2" s="1"/>
  <c r="M23" i="2" s="1"/>
  <c r="N23" i="2" s="1"/>
  <c r="J24" i="2"/>
  <c r="K24" i="2" s="1"/>
  <c r="L24" i="2" s="1"/>
  <c r="M24" i="2" s="1"/>
  <c r="N24" i="2" s="1"/>
  <c r="J25" i="2"/>
  <c r="K25" i="2" s="1"/>
  <c r="L25" i="2" s="1"/>
  <c r="M25" i="2" s="1"/>
  <c r="N25" i="2" s="1"/>
  <c r="J26" i="2"/>
  <c r="K26" i="2" s="1"/>
  <c r="L26" i="2" s="1"/>
  <c r="M26" i="2" s="1"/>
  <c r="N26" i="2" s="1"/>
  <c r="J27" i="2"/>
  <c r="K27" i="2" s="1"/>
  <c r="L27" i="2" s="1"/>
  <c r="M27" i="2" s="1"/>
  <c r="N27" i="2" s="1"/>
  <c r="J28" i="2"/>
  <c r="K28" i="2" s="1"/>
  <c r="L28" i="2" s="1"/>
  <c r="M28" i="2" s="1"/>
  <c r="N28" i="2" s="1"/>
  <c r="J29" i="2"/>
  <c r="K29" i="2" s="1"/>
  <c r="L29" i="2" s="1"/>
  <c r="M29" i="2" s="1"/>
  <c r="N29" i="2" s="1"/>
  <c r="J3" i="2"/>
  <c r="K3" i="2" s="1"/>
  <c r="L3" i="2" s="1"/>
  <c r="M3" i="2" s="1"/>
  <c r="N3" i="2" s="1"/>
  <c r="J4" i="2"/>
  <c r="K4" i="2" s="1"/>
  <c r="L4" i="2" s="1"/>
  <c r="M4" i="2" s="1"/>
  <c r="N4" i="2" s="1"/>
  <c r="J5" i="2"/>
  <c r="K5" i="2" s="1"/>
  <c r="L5" i="2" s="1"/>
  <c r="M5" i="2" s="1"/>
  <c r="N5" i="2" s="1"/>
  <c r="J6" i="2"/>
  <c r="J7" i="2"/>
  <c r="K7" i="2" s="1"/>
  <c r="L7" i="2" s="1"/>
  <c r="M7" i="2" s="1"/>
  <c r="N7" i="2" s="1"/>
  <c r="J8" i="2"/>
  <c r="J9" i="2"/>
  <c r="K9" i="2" s="1"/>
  <c r="L9" i="2" s="1"/>
  <c r="M9" i="2" s="1"/>
  <c r="N9" i="2" s="1"/>
  <c r="J10" i="2"/>
  <c r="J11" i="2"/>
  <c r="K11" i="2" s="1"/>
  <c r="L11" i="2" s="1"/>
  <c r="M11" i="2" s="1"/>
  <c r="N11" i="2" s="1"/>
  <c r="J12" i="2"/>
  <c r="K12" i="2" s="1"/>
  <c r="L12" i="2" s="1"/>
  <c r="M12" i="2" s="1"/>
  <c r="N12" i="2" s="1"/>
  <c r="J13" i="2"/>
  <c r="K13" i="2" s="1"/>
  <c r="L13" i="2" s="1"/>
  <c r="M13" i="2" s="1"/>
  <c r="N13" i="2" s="1"/>
  <c r="J14" i="2"/>
  <c r="J15" i="2"/>
  <c r="J2" i="2"/>
  <c r="K2" i="2" s="1"/>
  <c r="L2" i="2" s="1"/>
  <c r="M2" i="2" s="1"/>
  <c r="N2" i="2" s="1"/>
  <c r="C89" i="2"/>
  <c r="C90" i="2"/>
  <c r="C91" i="2"/>
  <c r="C80" i="2"/>
  <c r="D80" i="2" s="1"/>
  <c r="E80" i="2" s="1"/>
  <c r="F80" i="2" s="1"/>
  <c r="G80" i="2" s="1"/>
  <c r="Q80" i="2" s="1"/>
  <c r="C81" i="2"/>
  <c r="D81" i="2" s="1"/>
  <c r="E81" i="2" s="1"/>
  <c r="F81" i="2" s="1"/>
  <c r="G81" i="2" s="1"/>
  <c r="C82" i="2"/>
  <c r="D82" i="2" s="1"/>
  <c r="E82" i="2" s="1"/>
  <c r="F82" i="2" s="1"/>
  <c r="G82" i="2" s="1"/>
  <c r="Q82" i="2" s="1"/>
  <c r="C83" i="2"/>
  <c r="C84" i="2"/>
  <c r="D84" i="2" s="1"/>
  <c r="E84" i="2" s="1"/>
  <c r="F84" i="2" s="1"/>
  <c r="G84" i="2" s="1"/>
  <c r="Q84" i="2" s="1"/>
  <c r="C85" i="2"/>
  <c r="C86" i="2"/>
  <c r="D86" i="2" s="1"/>
  <c r="E86" i="2" s="1"/>
  <c r="F86" i="2" s="1"/>
  <c r="G86" i="2" s="1"/>
  <c r="Q86" i="2" s="1"/>
  <c r="C87" i="2"/>
  <c r="D87" i="2" s="1"/>
  <c r="E87" i="2" s="1"/>
  <c r="F87" i="2" s="1"/>
  <c r="G87" i="2" s="1"/>
  <c r="Q87" i="2" s="1"/>
  <c r="C88" i="2"/>
  <c r="D88" i="2" s="1"/>
  <c r="E88" i="2" s="1"/>
  <c r="F88" i="2" s="1"/>
  <c r="G88" i="2" s="1"/>
  <c r="Q88" i="2" s="1"/>
  <c r="C71" i="2"/>
  <c r="D71" i="2" s="1"/>
  <c r="E71" i="2" s="1"/>
  <c r="F71" i="2" s="1"/>
  <c r="G71" i="2" s="1"/>
  <c r="Q71" i="2" s="1"/>
  <c r="C72" i="2"/>
  <c r="C73" i="2"/>
  <c r="D73" i="2" s="1"/>
  <c r="E73" i="2" s="1"/>
  <c r="F73" i="2" s="1"/>
  <c r="G73" i="2" s="1"/>
  <c r="C74" i="2"/>
  <c r="D74" i="2" s="1"/>
  <c r="E74" i="2" s="1"/>
  <c r="F74" i="2" s="1"/>
  <c r="G74" i="2" s="1"/>
  <c r="Q74" i="2" s="1"/>
  <c r="C75" i="2"/>
  <c r="C76" i="2"/>
  <c r="C77" i="2"/>
  <c r="C78" i="2"/>
  <c r="D78" i="2" s="1"/>
  <c r="E78" i="2" s="1"/>
  <c r="F78" i="2" s="1"/>
  <c r="G78" i="2" s="1"/>
  <c r="Q78" i="2" s="1"/>
  <c r="C79" i="2"/>
  <c r="D79" i="2" s="1"/>
  <c r="E79" i="2" s="1"/>
  <c r="F79" i="2" s="1"/>
  <c r="G79" i="2" s="1"/>
  <c r="Q79" i="2" s="1"/>
  <c r="C57" i="2"/>
  <c r="C58" i="2"/>
  <c r="D58" i="2" s="1"/>
  <c r="E58" i="2" s="1"/>
  <c r="F58" i="2" s="1"/>
  <c r="G58" i="2" s="1"/>
  <c r="Q58" i="2" s="1"/>
  <c r="C59" i="2"/>
  <c r="C60" i="2"/>
  <c r="D60" i="2" s="1"/>
  <c r="E60" i="2" s="1"/>
  <c r="F60" i="2" s="1"/>
  <c r="G60" i="2" s="1"/>
  <c r="Q60" i="2" s="1"/>
  <c r="C61" i="2"/>
  <c r="C62" i="2"/>
  <c r="D62" i="2" s="1"/>
  <c r="E62" i="2" s="1"/>
  <c r="F62" i="2" s="1"/>
  <c r="G62" i="2" s="1"/>
  <c r="Q62" i="2" s="1"/>
  <c r="C63" i="2"/>
  <c r="D63" i="2" s="1"/>
  <c r="E63" i="2" s="1"/>
  <c r="F63" i="2" s="1"/>
  <c r="G63" i="2" s="1"/>
  <c r="Q63" i="2" s="1"/>
  <c r="C64" i="2"/>
  <c r="C65" i="2"/>
  <c r="C66" i="2"/>
  <c r="D66" i="2" s="1"/>
  <c r="E66" i="2" s="1"/>
  <c r="F66" i="2" s="1"/>
  <c r="G66" i="2" s="1"/>
  <c r="Q66" i="2" s="1"/>
  <c r="C67" i="2"/>
  <c r="D67" i="2" s="1"/>
  <c r="E67" i="2" s="1"/>
  <c r="F67" i="2" s="1"/>
  <c r="G67" i="2" s="1"/>
  <c r="Q67" i="2" s="1"/>
  <c r="C68" i="2"/>
  <c r="D68" i="2" s="1"/>
  <c r="E68" i="2" s="1"/>
  <c r="F68" i="2" s="1"/>
  <c r="G68" i="2" s="1"/>
  <c r="Q68" i="2" s="1"/>
  <c r="C69" i="2"/>
  <c r="C70" i="2"/>
  <c r="D70" i="2" s="1"/>
  <c r="E70" i="2" s="1"/>
  <c r="F70" i="2" s="1"/>
  <c r="G70" i="2" s="1"/>
  <c r="Q70" i="2" s="1"/>
  <c r="C43" i="2"/>
  <c r="D43" i="2" s="1"/>
  <c r="E43" i="2" s="1"/>
  <c r="F43" i="2" s="1"/>
  <c r="G43" i="2" s="1"/>
  <c r="Q43" i="2" s="1"/>
  <c r="C44" i="2"/>
  <c r="D44" i="2" s="1"/>
  <c r="E44" i="2" s="1"/>
  <c r="F44" i="2" s="1"/>
  <c r="G44" i="2" s="1"/>
  <c r="C45" i="2"/>
  <c r="D45" i="2" s="1"/>
  <c r="E45" i="2" s="1"/>
  <c r="F45" i="2" s="1"/>
  <c r="G45" i="2" s="1"/>
  <c r="Q45" i="2" s="1"/>
  <c r="C46" i="2"/>
  <c r="C47" i="2"/>
  <c r="D47" i="2" s="1"/>
  <c r="E47" i="2" s="1"/>
  <c r="F47" i="2" s="1"/>
  <c r="G47" i="2" s="1"/>
  <c r="Q47" i="2" s="1"/>
  <c r="C48" i="2"/>
  <c r="C49" i="2"/>
  <c r="D49" i="2" s="1"/>
  <c r="E49" i="2" s="1"/>
  <c r="F49" i="2" s="1"/>
  <c r="G49" i="2" s="1"/>
  <c r="Q49" i="2" s="1"/>
  <c r="C50" i="2"/>
  <c r="D50" i="2" s="1"/>
  <c r="E50" i="2" s="1"/>
  <c r="F50" i="2" s="1"/>
  <c r="G50" i="2" s="1"/>
  <c r="Q50" i="2" s="1"/>
  <c r="C51" i="2"/>
  <c r="D51" i="2" s="1"/>
  <c r="E51" i="2" s="1"/>
  <c r="F51" i="2" s="1"/>
  <c r="G51" i="2" s="1"/>
  <c r="Q51" i="2" s="1"/>
  <c r="C52" i="2"/>
  <c r="D52" i="2" s="1"/>
  <c r="E52" i="2" s="1"/>
  <c r="F52" i="2" s="1"/>
  <c r="G52" i="2" s="1"/>
  <c r="Q52" i="2" s="1"/>
  <c r="C53" i="2"/>
  <c r="D53" i="2" s="1"/>
  <c r="E53" i="2" s="1"/>
  <c r="F53" i="2" s="1"/>
  <c r="G53" i="2" s="1"/>
  <c r="C54" i="2"/>
  <c r="C55" i="2"/>
  <c r="D55" i="2" s="1"/>
  <c r="E55" i="2" s="1"/>
  <c r="F55" i="2" s="1"/>
  <c r="G55" i="2" s="1"/>
  <c r="Q55" i="2" s="1"/>
  <c r="C56" i="2"/>
  <c r="C20" i="2"/>
  <c r="D20" i="2" s="1"/>
  <c r="E20" i="2" s="1"/>
  <c r="F20" i="2" s="1"/>
  <c r="G20" i="2" s="1"/>
  <c r="Q20" i="2" s="1"/>
  <c r="C21" i="2"/>
  <c r="C22" i="2"/>
  <c r="D22" i="2" s="1"/>
  <c r="E22" i="2" s="1"/>
  <c r="F22" i="2" s="1"/>
  <c r="G22" i="2" s="1"/>
  <c r="Q22" i="2" s="1"/>
  <c r="C23" i="2"/>
  <c r="D23" i="2" s="1"/>
  <c r="E23" i="2" s="1"/>
  <c r="F23" i="2" s="1"/>
  <c r="G23" i="2" s="1"/>
  <c r="C24" i="2"/>
  <c r="D24" i="2" s="1"/>
  <c r="E24" i="2" s="1"/>
  <c r="F24" i="2" s="1"/>
  <c r="G24" i="2" s="1"/>
  <c r="Q24" i="2" s="1"/>
  <c r="C25" i="2"/>
  <c r="C26" i="2"/>
  <c r="D26" i="2" s="1"/>
  <c r="E26" i="2" s="1"/>
  <c r="F26" i="2" s="1"/>
  <c r="G26" i="2" s="1"/>
  <c r="Q26" i="2" s="1"/>
  <c r="C27" i="2"/>
  <c r="D27" i="2" s="1"/>
  <c r="E27" i="2" s="1"/>
  <c r="F27" i="2" s="1"/>
  <c r="G27" i="2" s="1"/>
  <c r="C28" i="2"/>
  <c r="D28" i="2" s="1"/>
  <c r="E28" i="2" s="1"/>
  <c r="F28" i="2" s="1"/>
  <c r="G28" i="2" s="1"/>
  <c r="Q28" i="2" s="1"/>
  <c r="C29" i="2"/>
  <c r="C30" i="2"/>
  <c r="D30" i="2" s="1"/>
  <c r="E30" i="2" s="1"/>
  <c r="F30" i="2" s="1"/>
  <c r="G30" i="2" s="1"/>
  <c r="Q30" i="2" s="1"/>
  <c r="C31" i="2"/>
  <c r="D31" i="2" s="1"/>
  <c r="E31" i="2" s="1"/>
  <c r="F31" i="2" s="1"/>
  <c r="G31" i="2" s="1"/>
  <c r="Q31" i="2" s="1"/>
  <c r="C32" i="2"/>
  <c r="D32" i="2" s="1"/>
  <c r="E32" i="2" s="1"/>
  <c r="F32" i="2" s="1"/>
  <c r="G32" i="2" s="1"/>
  <c r="C33" i="2"/>
  <c r="C34" i="2"/>
  <c r="D34" i="2" s="1"/>
  <c r="E34" i="2" s="1"/>
  <c r="F34" i="2" s="1"/>
  <c r="G34" i="2" s="1"/>
  <c r="C35" i="2"/>
  <c r="D35" i="2" s="1"/>
  <c r="E35" i="2" s="1"/>
  <c r="F35" i="2" s="1"/>
  <c r="G35" i="2" s="1"/>
  <c r="Q35" i="2" s="1"/>
  <c r="C36" i="2"/>
  <c r="C37" i="2"/>
  <c r="C38" i="2"/>
  <c r="D38" i="2" s="1"/>
  <c r="E38" i="2" s="1"/>
  <c r="F38" i="2" s="1"/>
  <c r="G38" i="2" s="1"/>
  <c r="Q38" i="2" s="1"/>
  <c r="C39" i="2"/>
  <c r="C40" i="2"/>
  <c r="C41" i="2"/>
  <c r="C42" i="2"/>
  <c r="D42" i="2" s="1"/>
  <c r="E42" i="2" s="1"/>
  <c r="F42" i="2" s="1"/>
  <c r="G42" i="2" s="1"/>
  <c r="Q42" i="2" s="1"/>
  <c r="C3" i="2"/>
  <c r="D3" i="2" s="1"/>
  <c r="E3" i="2" s="1"/>
  <c r="F3" i="2" s="1"/>
  <c r="G3" i="2" s="1"/>
  <c r="Q3" i="2" s="1"/>
  <c r="C4" i="2"/>
  <c r="C5" i="2"/>
  <c r="D5" i="2" s="1"/>
  <c r="E5" i="2" s="1"/>
  <c r="F5" i="2" s="1"/>
  <c r="G5" i="2" s="1"/>
  <c r="C6" i="2"/>
  <c r="D6" i="2" s="1"/>
  <c r="E6" i="2" s="1"/>
  <c r="F6" i="2" s="1"/>
  <c r="G6" i="2" s="1"/>
  <c r="Q6" i="2" s="1"/>
  <c r="C7" i="2"/>
  <c r="D7" i="2" s="1"/>
  <c r="E7" i="2" s="1"/>
  <c r="F7" i="2" s="1"/>
  <c r="G7" i="2" s="1"/>
  <c r="Q7" i="2" s="1"/>
  <c r="C8" i="2"/>
  <c r="C9" i="2"/>
  <c r="D9" i="2" s="1"/>
  <c r="E9" i="2" s="1"/>
  <c r="F9" i="2" s="1"/>
  <c r="G9" i="2" s="1"/>
  <c r="C10" i="2"/>
  <c r="D10" i="2" s="1"/>
  <c r="E10" i="2" s="1"/>
  <c r="F10" i="2" s="1"/>
  <c r="G10" i="2" s="1"/>
  <c r="Q10" i="2" s="1"/>
  <c r="C11" i="2"/>
  <c r="C12" i="2"/>
  <c r="D12" i="2" s="1"/>
  <c r="E12" i="2" s="1"/>
  <c r="F12" i="2" s="1"/>
  <c r="G12" i="2" s="1"/>
  <c r="C13" i="2"/>
  <c r="D13" i="2" s="1"/>
  <c r="E13" i="2" s="1"/>
  <c r="F13" i="2" s="1"/>
  <c r="G13" i="2" s="1"/>
  <c r="C14" i="2"/>
  <c r="D14" i="2" s="1"/>
  <c r="E14" i="2" s="1"/>
  <c r="F14" i="2" s="1"/>
  <c r="G14" i="2" s="1"/>
  <c r="Q14" i="2" s="1"/>
  <c r="C15" i="2"/>
  <c r="D15" i="2" s="1"/>
  <c r="E15" i="2" s="1"/>
  <c r="F15" i="2" s="1"/>
  <c r="G15" i="2" s="1"/>
  <c r="Q15" i="2" s="1"/>
  <c r="C16" i="2"/>
  <c r="C17" i="2"/>
  <c r="C18" i="2"/>
  <c r="D18" i="2" s="1"/>
  <c r="E18" i="2" s="1"/>
  <c r="F18" i="2" s="1"/>
  <c r="G18" i="2" s="1"/>
  <c r="Q18" i="2" s="1"/>
  <c r="C19" i="2"/>
  <c r="D19" i="2" s="1"/>
  <c r="E19" i="2" s="1"/>
  <c r="F19" i="2" s="1"/>
  <c r="G19" i="2" s="1"/>
  <c r="C2" i="2"/>
  <c r="D36" i="2"/>
  <c r="E36" i="2" s="1"/>
  <c r="F36" i="2" s="1"/>
  <c r="G36" i="2" s="1"/>
  <c r="Q36" i="2" s="1"/>
  <c r="D8" i="2"/>
  <c r="E8" i="2" s="1"/>
  <c r="F8" i="2" s="1"/>
  <c r="G8" i="2" s="1"/>
  <c r="Q8" i="2" s="1"/>
  <c r="D17" i="2"/>
  <c r="E17" i="2" s="1"/>
  <c r="F17" i="2" s="1"/>
  <c r="G17" i="2" s="1"/>
  <c r="K6" i="2"/>
  <c r="L6" i="2" s="1"/>
  <c r="M6" i="2" s="1"/>
  <c r="N6" i="2" s="1"/>
  <c r="K8" i="2"/>
  <c r="L8" i="2" s="1"/>
  <c r="M8" i="2" s="1"/>
  <c r="N8" i="2" s="1"/>
  <c r="K10" i="2"/>
  <c r="L10" i="2" s="1"/>
  <c r="M10" i="2" s="1"/>
  <c r="N10" i="2" s="1"/>
  <c r="K14" i="2"/>
  <c r="L14" i="2" s="1"/>
  <c r="M14" i="2" s="1"/>
  <c r="N14" i="2" s="1"/>
  <c r="K15" i="2"/>
  <c r="L15" i="2" s="1"/>
  <c r="M15" i="2" s="1"/>
  <c r="N15" i="2" s="1"/>
  <c r="K30" i="2"/>
  <c r="L30" i="2" s="1"/>
  <c r="M30" i="2" s="1"/>
  <c r="N30" i="2" s="1"/>
  <c r="K34" i="2"/>
  <c r="L34" i="2" s="1"/>
  <c r="M34" i="2" s="1"/>
  <c r="N34" i="2" s="1"/>
  <c r="K38" i="2"/>
  <c r="L38" i="2" s="1"/>
  <c r="M38" i="2" s="1"/>
  <c r="N38" i="2" s="1"/>
  <c r="K39" i="2"/>
  <c r="L39" i="2" s="1"/>
  <c r="M39" i="2" s="1"/>
  <c r="N39" i="2" s="1"/>
  <c r="K42" i="2"/>
  <c r="L42" i="2" s="1"/>
  <c r="M42" i="2" s="1"/>
  <c r="N42" i="2" s="1"/>
  <c r="K44" i="2"/>
  <c r="L44" i="2" s="1"/>
  <c r="M44" i="2" s="1"/>
  <c r="N44" i="2" s="1"/>
  <c r="K48" i="2"/>
  <c r="L48" i="2" s="1"/>
  <c r="M48" i="2" s="1"/>
  <c r="N48" i="2" s="1"/>
  <c r="K49" i="2"/>
  <c r="L49" i="2" s="1"/>
  <c r="M49" i="2" s="1"/>
  <c r="N49" i="2" s="1"/>
  <c r="K50" i="2"/>
  <c r="L50" i="2" s="1"/>
  <c r="M50" i="2" s="1"/>
  <c r="N50" i="2" s="1"/>
  <c r="K52" i="2"/>
  <c r="L52" i="2" s="1"/>
  <c r="M52" i="2" s="1"/>
  <c r="N52" i="2" s="1"/>
  <c r="K56" i="2"/>
  <c r="L56" i="2" s="1"/>
  <c r="M56" i="2" s="1"/>
  <c r="N56" i="2" s="1"/>
  <c r="K60" i="2"/>
  <c r="L60" i="2" s="1"/>
  <c r="M60" i="2" s="1"/>
  <c r="N60" i="2" s="1"/>
  <c r="K64" i="2"/>
  <c r="L64" i="2" s="1"/>
  <c r="M64" i="2" s="1"/>
  <c r="N64" i="2" s="1"/>
  <c r="K73" i="2"/>
  <c r="L73" i="2" s="1"/>
  <c r="M73" i="2" s="1"/>
  <c r="N73" i="2" s="1"/>
  <c r="Q73" i="2" s="1"/>
  <c r="K75" i="2"/>
  <c r="L75" i="2" s="1"/>
  <c r="M75" i="2" s="1"/>
  <c r="N75" i="2" s="1"/>
  <c r="K81" i="2"/>
  <c r="L81" i="2" s="1"/>
  <c r="M81" i="2" s="1"/>
  <c r="N81" i="2" s="1"/>
  <c r="K83" i="2"/>
  <c r="L83" i="2" s="1"/>
  <c r="M83" i="2" s="1"/>
  <c r="N83" i="2" s="1"/>
  <c r="K85" i="2"/>
  <c r="L85" i="2" s="1"/>
  <c r="M85" i="2" s="1"/>
  <c r="N85" i="2" s="1"/>
  <c r="K89" i="2"/>
  <c r="L89" i="2" s="1"/>
  <c r="M89" i="2" s="1"/>
  <c r="N89" i="2" s="1"/>
  <c r="K91" i="2"/>
  <c r="L91" i="2" s="1"/>
  <c r="M91" i="2" s="1"/>
  <c r="N91" i="2" s="1"/>
  <c r="D91" i="2"/>
  <c r="E91" i="2" s="1"/>
  <c r="F91" i="2" s="1"/>
  <c r="G91" i="2" s="1"/>
  <c r="Q91" i="2" s="1"/>
  <c r="D90" i="2"/>
  <c r="E90" i="2" s="1"/>
  <c r="F90" i="2" s="1"/>
  <c r="G90" i="2" s="1"/>
  <c r="Q90" i="2" s="1"/>
  <c r="D89" i="2"/>
  <c r="E89" i="2" s="1"/>
  <c r="F89" i="2" s="1"/>
  <c r="G89" i="2" s="1"/>
  <c r="Q89" i="2" s="1"/>
  <c r="D85" i="2"/>
  <c r="E85" i="2" s="1"/>
  <c r="F85" i="2" s="1"/>
  <c r="G85" i="2" s="1"/>
  <c r="D83" i="2"/>
  <c r="E83" i="2" s="1"/>
  <c r="F83" i="2" s="1"/>
  <c r="G83" i="2" s="1"/>
  <c r="Q83" i="2" s="1"/>
  <c r="D77" i="2"/>
  <c r="E77" i="2" s="1"/>
  <c r="F77" i="2" s="1"/>
  <c r="G77" i="2" s="1"/>
  <c r="D76" i="2"/>
  <c r="E76" i="2" s="1"/>
  <c r="F76" i="2" s="1"/>
  <c r="G76" i="2" s="1"/>
  <c r="Q76" i="2" s="1"/>
  <c r="D75" i="2"/>
  <c r="E75" i="2" s="1"/>
  <c r="F75" i="2" s="1"/>
  <c r="G75" i="2" s="1"/>
  <c r="Q75" i="2" s="1"/>
  <c r="D72" i="2"/>
  <c r="E72" i="2" s="1"/>
  <c r="F72" i="2" s="1"/>
  <c r="G72" i="2" s="1"/>
  <c r="Q72" i="2" s="1"/>
  <c r="D69" i="2"/>
  <c r="E69" i="2" s="1"/>
  <c r="F69" i="2" s="1"/>
  <c r="G69" i="2" s="1"/>
  <c r="D65" i="2"/>
  <c r="E65" i="2" s="1"/>
  <c r="F65" i="2" s="1"/>
  <c r="G65" i="2" s="1"/>
  <c r="Q65" i="2" s="1"/>
  <c r="D64" i="2"/>
  <c r="E64" i="2" s="1"/>
  <c r="F64" i="2" s="1"/>
  <c r="G64" i="2" s="1"/>
  <c r="Q64" i="2" s="1"/>
  <c r="D61" i="2"/>
  <c r="E61" i="2" s="1"/>
  <c r="F61" i="2" s="1"/>
  <c r="G61" i="2" s="1"/>
  <c r="D59" i="2"/>
  <c r="E59" i="2" s="1"/>
  <c r="F59" i="2" s="1"/>
  <c r="G59" i="2" s="1"/>
  <c r="Q59" i="2" s="1"/>
  <c r="D57" i="2"/>
  <c r="E57" i="2" s="1"/>
  <c r="F57" i="2" s="1"/>
  <c r="G57" i="2" s="1"/>
  <c r="Q57" i="2" s="1"/>
  <c r="D56" i="2"/>
  <c r="E56" i="2" s="1"/>
  <c r="F56" i="2" s="1"/>
  <c r="G56" i="2" s="1"/>
  <c r="Q56" i="2" s="1"/>
  <c r="D54" i="2"/>
  <c r="E54" i="2" s="1"/>
  <c r="F54" i="2" s="1"/>
  <c r="G54" i="2" s="1"/>
  <c r="Q54" i="2" s="1"/>
  <c r="D48" i="2"/>
  <c r="E48" i="2" s="1"/>
  <c r="F48" i="2" s="1"/>
  <c r="G48" i="2" s="1"/>
  <c r="Q48" i="2" s="1"/>
  <c r="D46" i="2"/>
  <c r="E46" i="2" s="1"/>
  <c r="F46" i="2" s="1"/>
  <c r="G46" i="2" s="1"/>
  <c r="Q46" i="2" s="1"/>
  <c r="D41" i="2"/>
  <c r="E41" i="2" s="1"/>
  <c r="F41" i="2" s="1"/>
  <c r="G41" i="2" s="1"/>
  <c r="D40" i="2"/>
  <c r="E40" i="2" s="1"/>
  <c r="F40" i="2" s="1"/>
  <c r="G40" i="2" s="1"/>
  <c r="Q40" i="2" s="1"/>
  <c r="D39" i="2"/>
  <c r="E39" i="2" s="1"/>
  <c r="F39" i="2" s="1"/>
  <c r="G39" i="2" s="1"/>
  <c r="Q39" i="2" s="1"/>
  <c r="D37" i="2"/>
  <c r="E37" i="2" s="1"/>
  <c r="F37" i="2" s="1"/>
  <c r="G37" i="2" s="1"/>
  <c r="D33" i="2"/>
  <c r="E33" i="2" s="1"/>
  <c r="F33" i="2" s="1"/>
  <c r="G33" i="2" s="1"/>
  <c r="Q33" i="2" s="1"/>
  <c r="D29" i="2"/>
  <c r="E29" i="2" s="1"/>
  <c r="F29" i="2" s="1"/>
  <c r="G29" i="2" s="1"/>
  <c r="Q29" i="2" s="1"/>
  <c r="D25" i="2"/>
  <c r="E25" i="2" s="1"/>
  <c r="F25" i="2" s="1"/>
  <c r="G25" i="2" s="1"/>
  <c r="Q25" i="2" s="1"/>
  <c r="D21" i="2"/>
  <c r="E21" i="2" s="1"/>
  <c r="F21" i="2" s="1"/>
  <c r="G21" i="2" s="1"/>
  <c r="Q21" i="2" s="1"/>
  <c r="D16" i="2"/>
  <c r="E16" i="2" s="1"/>
  <c r="F16" i="2" s="1"/>
  <c r="G16" i="2" s="1"/>
  <c r="Q16" i="2" s="1"/>
  <c r="D11" i="2"/>
  <c r="E11" i="2" s="1"/>
  <c r="F11" i="2" s="1"/>
  <c r="G11" i="2" s="1"/>
  <c r="Q11" i="2" s="1"/>
  <c r="D4" i="2"/>
  <c r="E4" i="2" s="1"/>
  <c r="F4" i="2" s="1"/>
  <c r="G4" i="2" s="1"/>
  <c r="Q4" i="2" s="1"/>
  <c r="D2" i="2"/>
  <c r="E2" i="2" s="1"/>
  <c r="F2" i="2" s="1"/>
  <c r="G2" i="2" s="1"/>
  <c r="Q12" i="2" l="1"/>
  <c r="Q32" i="2"/>
  <c r="Q34" i="2"/>
  <c r="Q2" i="2"/>
  <c r="Q19" i="2"/>
  <c r="Q27" i="2"/>
  <c r="Q23" i="2"/>
  <c r="Q44" i="2"/>
</calcChain>
</file>

<file path=xl/sharedStrings.xml><?xml version="1.0" encoding="utf-8"?>
<sst xmlns="http://schemas.openxmlformats.org/spreadsheetml/2006/main" count="120" uniqueCount="112">
  <si>
    <t>Nr.p.k</t>
  </si>
  <si>
    <t>1.</t>
  </si>
  <si>
    <t xml:space="preserve">2. 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</si>
  <si>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</si>
  <si>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</si>
  <si>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</si>
  <si>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</si>
  <si>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</si>
  <si>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</si>
  <si>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</si>
  <si>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</si>
  <si>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</si>
  <si>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</si>
  <si>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</si>
  <si>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</si>
  <si>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</si>
  <si>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</si>
  <si>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</si>
  <si>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</si>
  <si>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</si>
  <si>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</si>
  <si>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</si>
  <si>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</si>
  <si>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</si>
  <si>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</si>
  <si>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</si>
  <si>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</si>
  <si>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</si>
  <si>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</si>
  <si>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</si>
  <si>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</si>
  <si>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</si>
  <si>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</si>
  <si>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</si>
  <si>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</si>
  <si>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</si>
  <si>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</si>
  <si>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</si>
  <si>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</si>
  <si>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</si>
  <si>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</si>
  <si>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</si>
  <si>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</si>
  <si>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</si>
  <si>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</si>
  <si>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</si>
  <si>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</si>
  <si>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</si>
  <si>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</si>
  <si>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</si>
  <si>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</si>
  <si>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</si>
  <si>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</si>
  <si>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</si>
  <si>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</si>
  <si>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</si>
  <si>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</si>
  <si>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</si>
  <si>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</si>
  <si>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</si>
  <si>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</si>
  <si>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</si>
  <si>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</si>
  <si>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</si>
  <si>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</si>
  <si>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</si>
  <si>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</si>
  <si>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</si>
  <si>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</si>
  <si>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</si>
  <si>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</si>
  <si>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</si>
  <si>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</si>
  <si>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</si>
  <si>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</si>
  <si>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</si>
  <si>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</si>
  <si>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</si>
  <si>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</si>
  <si>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</si>
  <si>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</si>
  <si>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</si>
  <si>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</si>
  <si>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</si>
  <si>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</si>
  <si>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</si>
  <si>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</si>
  <si>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</si>
  <si>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</si>
  <si>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</si>
  <si>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</si>
  <si>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</si>
  <si>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</si>
  <si>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</si>
  <si>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</si>
  <si>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</si>
  <si>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</si>
  <si>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</si>
  <si>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</si>
  <si>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</si>
  <si>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</si>
  <si>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r>
      <t>l</t>
    </r>
    <r>
      <rPr>
        <b/>
        <i/>
        <sz val="12"/>
        <color theme="1"/>
        <rFont val="Symbol"/>
        <family val="1"/>
        <charset val="2"/>
      </rPr>
      <t>±</t>
    </r>
    <r>
      <rPr>
        <b/>
        <i/>
        <sz val="12"/>
        <color theme="1"/>
        <rFont val="Calibri"/>
        <family val="2"/>
        <charset val="186"/>
      </rPr>
      <t>0,01, mm</t>
    </r>
  </si>
  <si>
    <r>
      <t>d</t>
    </r>
    <r>
      <rPr>
        <b/>
        <i/>
        <sz val="12"/>
        <color theme="1"/>
        <rFont val="Symbol"/>
        <family val="1"/>
        <charset val="2"/>
      </rPr>
      <t>±</t>
    </r>
    <r>
      <rPr>
        <b/>
        <i/>
        <sz val="12"/>
        <color theme="1"/>
        <rFont val="Calibri"/>
        <family val="2"/>
        <charset val="186"/>
      </rPr>
      <t>0,01, mm</t>
    </r>
  </si>
  <si>
    <t>Vid.</t>
  </si>
  <si>
    <t>novirze</t>
  </si>
  <si>
    <t>nov.kv.</t>
  </si>
  <si>
    <t>Sx</t>
  </si>
  <si>
    <t>Δx</t>
  </si>
  <si>
    <t xml:space="preserve">ε=…% pie β=1.96 </t>
  </si>
  <si>
    <t>Naglas šķgriezuma S</t>
  </si>
  <si>
    <t>εS %</t>
  </si>
  <si>
    <t>Δs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</si>
</sst>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9" formatCode="0.0000"/>
  </numFmts>
  <fonts count="10" x14ac:knownFonts="1">
    <font>
      <sz val="11"/>
      <color theme="1"/>
      <name val="Calibri"/>
      <family val="2"/>
      <charset val="186"/>
      <scheme val="minor"/>
    </font>
    <font>
      <sz val="8"/>
      <name val="Calibri"/>
      <family val="2"/>
      <charset val="186"/>
      <scheme val="minor"/>
    </font>
    <font>
      <sz val="12"/>
      <color theme="1"/>
      <name val="Calibri"/>
      <family val="2"/>
      <charset val="186"/>
      <scheme val="minor"/>
    </font>
    <font>
      <b/>
      <sz val="12"/>
      <color theme="1"/>
      <name val="Calibri"/>
      <family val="2"/>
      <charset val="186"/>
      <scheme val="minor"/>
    </font>
    <font>
      <b/>
      <i/>
      <sz val="12"/>
      <color theme="1"/>
      <name val="Calibri"/>
      <family val="2"/>
      <charset val="186"/>
      <scheme val="minor"/>
    </font>
    <font>
      <b/>
      <i/>
      <sz val="12"/>
      <color theme="1"/>
      <name val="Calibri"/>
      <family val="1"/>
      <charset val="186"/>
    </font>
    <font>
      <b/>
      <i/>
      <sz val="12"/>
      <color theme="1"/>
      <name val="Symbol"/>
      <family val="1"/>
      <charset val="2"/>
    </font>
    <font>
      <b/>
      <i/>
      <sz val="12"/>
      <color theme="1"/>
      <name val="Calibri"/>
      <family val="2"/>
      <charset val="186"/>
    </font>
    <font>
      <b/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4" xfId="0" applyFont="1" applyBorder="1"/>
    <xf numFmtId="0" fontId="5" fillId="0" borderId="5" xfId="0" applyFont="1" applyBorder="1"/>
    <xf numFmtId="2" fontId="2" fillId="0" borderId="2" xfId="0" applyNumberFormat="1" applyFont="1" applyBorder="1"/>
    <xf numFmtId="2" fontId="2" fillId="0" borderId="1" xfId="0" applyNumberFormat="1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/>
    <xf numFmtId="2" fontId="0" fillId="0" borderId="0" xfId="0" applyNumberFormat="1"/>
    <xf numFmtId="179" fontId="0" fillId="0" borderId="0" xfId="0" applyNumberFormat="1"/>
    <xf numFmtId="0" fontId="3" fillId="0" borderId="2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2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dizain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zoomScale="115" zoomScaleNormal="115" workbookViewId="0">
      <pane ySplit="1" topLeftCell="A2" activePane="bottomLeft" state="frozen"/>
      <selection pane="bottomLeft" sqref="A1:C1048576"/>
    </sheetView>
  </sheetViews>
  <sheetFormatPr defaultColWidth="8.85546875" defaultRowHeight="15.75" x14ac:dyDescent="0.25"/>
  <cols>
    <col min="1" max="1" width="6.5703125" style="10" bestFit="1" customWidth="1"/>
    <col min="2" max="2" width="13" style="1" bestFit="1" customWidth="1"/>
    <col min="3" max="3" width="13.7109375" style="1" bestFit="1" customWidth="1"/>
    <col min="4" max="16384" width="8.85546875" style="1"/>
  </cols>
  <sheetData>
    <row r="1" spans="1:3" s="2" customFormat="1" ht="16.5" thickBot="1" x14ac:dyDescent="0.3">
      <c r="A1" s="7" t="s">
        <v>0</v>
      </c>
      <c r="B1" s="3" t="s">
        <v>101</v>
      </c>
      <c r="C1" s="4" t="s">
        <v>102</v>
      </c>
    </row>
    <row r="2" spans="1:3" x14ac:dyDescent="0.25">
      <c r="A2" s="8" t="s">
        <v>1</v>
      </c>
      <c r="B2" s="5">
        <v>20.51</v>
      </c>
      <c r="C2" s="5">
        <v>1.45</v>
      </c>
    </row>
    <row r="3" spans="1:3" x14ac:dyDescent="0.25">
      <c r="A3" s="9" t="s">
        <v>2</v>
      </c>
      <c r="B3" s="6">
        <v>20.58</v>
      </c>
      <c r="C3" s="6">
        <v>1.37</v>
      </c>
    </row>
    <row r="4" spans="1:3" x14ac:dyDescent="0.25">
      <c r="A4" s="9" t="s">
        <v>3</v>
      </c>
      <c r="B4" s="6">
        <v>20.47</v>
      </c>
      <c r="C4" s="6">
        <v>1.4</v>
      </c>
    </row>
    <row r="5" spans="1:3" x14ac:dyDescent="0.25">
      <c r="A5" s="9" t="s">
        <v>4</v>
      </c>
      <c r="B5" s="6">
        <v>20.56</v>
      </c>
      <c r="C5" s="6">
        <v>1.48</v>
      </c>
    </row>
    <row r="6" spans="1:3" x14ac:dyDescent="0.25">
      <c r="A6" s="9" t="s">
        <v>5</v>
      </c>
      <c r="B6" s="6">
        <v>20.48</v>
      </c>
      <c r="C6" s="6">
        <v>1.5</v>
      </c>
    </row>
    <row r="7" spans="1:3" x14ac:dyDescent="0.25">
      <c r="A7" s="9" t="s">
        <v>6</v>
      </c>
      <c r="B7" s="6">
        <v>20.55</v>
      </c>
      <c r="C7" s="6">
        <v>1.51</v>
      </c>
    </row>
    <row r="8" spans="1:3" x14ac:dyDescent="0.25">
      <c r="A8" s="9" t="s">
        <v>7</v>
      </c>
      <c r="B8" s="6">
        <v>20.66</v>
      </c>
      <c r="C8" s="6">
        <v>1.6</v>
      </c>
    </row>
    <row r="9" spans="1:3" x14ac:dyDescent="0.25">
      <c r="A9" s="9" t="s">
        <v>8</v>
      </c>
      <c r="B9" s="6">
        <v>20.43</v>
      </c>
      <c r="C9" s="6">
        <v>1.22</v>
      </c>
    </row>
    <row r="10" spans="1:3" x14ac:dyDescent="0.25">
      <c r="A10" s="9" t="s">
        <v>9</v>
      </c>
      <c r="B10" s="6">
        <v>20.53</v>
      </c>
      <c r="C10" s="6">
        <v>1.32</v>
      </c>
    </row>
    <row r="11" spans="1:3" x14ac:dyDescent="0.25">
      <c r="A11" s="9" t="s">
        <v>10</v>
      </c>
      <c r="B11" s="6">
        <v>20.12</v>
      </c>
      <c r="C11" s="6">
        <v>1.44</v>
      </c>
    </row>
    <row r="12" spans="1:3" x14ac:dyDescent="0.25">
      <c r="A12" s="9" t="s">
        <v>11</v>
      </c>
      <c r="B12" s="6">
        <v>20.34</v>
      </c>
      <c r="C12" s="6">
        <v>1.3</v>
      </c>
    </row>
    <row r="13" spans="1:3" x14ac:dyDescent="0.25">
      <c r="A13" s="9" t="s">
        <v>12</v>
      </c>
      <c r="B13" s="6">
        <v>20.39</v>
      </c>
      <c r="C13" s="6">
        <v>1.33</v>
      </c>
    </row>
    <row r="14" spans="1:3" x14ac:dyDescent="0.25">
      <c r="A14" s="9" t="s">
        <v>13</v>
      </c>
      <c r="B14" s="6">
        <v>20.52</v>
      </c>
      <c r="C14" s="6">
        <v>1.49</v>
      </c>
    </row>
    <row r="15" spans="1:3" x14ac:dyDescent="0.25">
      <c r="A15" s="9" t="s">
        <v>14</v>
      </c>
      <c r="B15" s="6">
        <v>20.440000000000001</v>
      </c>
      <c r="C15" s="6">
        <v>1.55</v>
      </c>
    </row>
    <row r="16" spans="1:3" x14ac:dyDescent="0.25">
      <c r="A16" s="9" t="s">
        <v>15</v>
      </c>
      <c r="B16" s="6">
        <v>20.69</v>
      </c>
      <c r="C16" s="6">
        <v>1.41</v>
      </c>
    </row>
    <row r="17" spans="1:3" x14ac:dyDescent="0.25">
      <c r="A17" s="9" t="s">
        <v>16</v>
      </c>
      <c r="B17" s="6">
        <v>20.010000000000002</v>
      </c>
      <c r="C17" s="6">
        <v>1.36</v>
      </c>
    </row>
    <row r="18" spans="1:3" x14ac:dyDescent="0.25">
      <c r="A18" s="9" t="s">
        <v>17</v>
      </c>
      <c r="B18" s="6">
        <v>20.079999999999998</v>
      </c>
      <c r="C18" s="6">
        <v>1.4</v>
      </c>
    </row>
    <row r="19" spans="1:3" x14ac:dyDescent="0.25">
      <c r="A19" s="9" t="s">
        <v>18</v>
      </c>
      <c r="B19" s="6">
        <v>20.2</v>
      </c>
      <c r="C19" s="6">
        <v>1.3</v>
      </c>
    </row>
    <row r="20" spans="1:3" x14ac:dyDescent="0.25">
      <c r="A20" s="9" t="s">
        <v>19</v>
      </c>
      <c r="B20" s="6">
        <v>20.64</v>
      </c>
      <c r="C20" s="6">
        <v>1.48</v>
      </c>
    </row>
    <row r="21" spans="1:3" x14ac:dyDescent="0.25">
      <c r="A21" s="9" t="s">
        <v>20</v>
      </c>
      <c r="B21" s="6">
        <v>20.5</v>
      </c>
      <c r="C21" s="6">
        <v>1.4</v>
      </c>
    </row>
    <row r="22" spans="1:3" x14ac:dyDescent="0.25">
      <c r="A22" s="9" t="s">
        <v>21</v>
      </c>
      <c r="B22" s="6">
        <v>20.61</v>
      </c>
      <c r="C22" s="6">
        <v>1.41</v>
      </c>
    </row>
    <row r="23" spans="1:3" x14ac:dyDescent="0.25">
      <c r="A23" s="9" t="s">
        <v>22</v>
      </c>
      <c r="B23" s="6">
        <v>20.51</v>
      </c>
      <c r="C23" s="6">
        <v>1.4</v>
      </c>
    </row>
    <row r="24" spans="1:3" x14ac:dyDescent="0.25">
      <c r="A24" s="9" t="s">
        <v>23</v>
      </c>
      <c r="B24" s="6">
        <v>20.18</v>
      </c>
      <c r="C24" s="6">
        <v>1.41</v>
      </c>
    </row>
    <row r="25" spans="1:3" x14ac:dyDescent="0.25">
      <c r="A25" s="9" t="s">
        <v>24</v>
      </c>
      <c r="B25" s="6">
        <v>19.95</v>
      </c>
      <c r="C25" s="6">
        <v>1.42</v>
      </c>
    </row>
    <row r="26" spans="1:3" x14ac:dyDescent="0.25">
      <c r="A26" s="9" t="s">
        <v>25</v>
      </c>
      <c r="B26" s="6">
        <v>20.62</v>
      </c>
      <c r="C26" s="6">
        <v>1.42</v>
      </c>
    </row>
    <row r="27" spans="1:3" x14ac:dyDescent="0.25">
      <c r="A27" s="9" t="s">
        <v>26</v>
      </c>
      <c r="B27" s="6">
        <v>20.7</v>
      </c>
      <c r="C27" s="6">
        <v>1.65</v>
      </c>
    </row>
    <row r="28" spans="1:3" x14ac:dyDescent="0.25">
      <c r="A28" s="9" t="s">
        <v>27</v>
      </c>
      <c r="B28" s="6">
        <v>20.51</v>
      </c>
      <c r="C28" s="6">
        <v>1.56</v>
      </c>
    </row>
    <row r="29" spans="1:3" x14ac:dyDescent="0.25">
      <c r="A29" s="9" t="s">
        <v>28</v>
      </c>
      <c r="B29" s="6">
        <v>20.329999999999998</v>
      </c>
      <c r="C29" s="6">
        <v>1.54</v>
      </c>
    </row>
    <row r="30" spans="1:3" x14ac:dyDescent="0.25">
      <c r="A30" s="9" t="s">
        <v>29</v>
      </c>
      <c r="B30" s="6">
        <v>20.440000000000001</v>
      </c>
      <c r="C30" s="6">
        <v>1.44</v>
      </c>
    </row>
    <row r="31" spans="1:3" x14ac:dyDescent="0.25">
      <c r="A31" s="9" t="s">
        <v>30</v>
      </c>
      <c r="B31" s="6">
        <v>20.55</v>
      </c>
      <c r="C31" s="6">
        <v>1.61</v>
      </c>
    </row>
    <row r="32" spans="1:3" x14ac:dyDescent="0.25">
      <c r="A32" s="9" t="s">
        <v>31</v>
      </c>
      <c r="B32" s="6">
        <v>20.36</v>
      </c>
      <c r="C32" s="6">
        <v>1.81</v>
      </c>
    </row>
    <row r="33" spans="1:3" x14ac:dyDescent="0.25">
      <c r="A33" s="9" t="s">
        <v>32</v>
      </c>
      <c r="B33" s="6">
        <v>20.54</v>
      </c>
      <c r="C33" s="6">
        <v>1.65</v>
      </c>
    </row>
    <row r="34" spans="1:3" x14ac:dyDescent="0.25">
      <c r="A34" s="9" t="s">
        <v>33</v>
      </c>
      <c r="B34" s="6">
        <v>20.45</v>
      </c>
      <c r="C34" s="6">
        <v>1.33</v>
      </c>
    </row>
    <row r="35" spans="1:3" x14ac:dyDescent="0.25">
      <c r="A35" s="9" t="s">
        <v>34</v>
      </c>
      <c r="B35" s="6">
        <v>20.67</v>
      </c>
      <c r="C35" s="6">
        <v>1.29</v>
      </c>
    </row>
    <row r="36" spans="1:3" x14ac:dyDescent="0.25">
      <c r="A36" s="9" t="s">
        <v>35</v>
      </c>
      <c r="B36" s="6">
        <v>20.28</v>
      </c>
      <c r="C36" s="6">
        <v>1.6</v>
      </c>
    </row>
    <row r="37" spans="1:3" x14ac:dyDescent="0.25">
      <c r="A37" s="9" t="s">
        <v>36</v>
      </c>
      <c r="B37" s="6">
        <v>20.170000000000002</v>
      </c>
      <c r="C37" s="6">
        <v>1.43</v>
      </c>
    </row>
    <row r="38" spans="1:3" x14ac:dyDescent="0.25">
      <c r="A38" s="9" t="s">
        <v>37</v>
      </c>
      <c r="B38" s="6">
        <v>20.29</v>
      </c>
      <c r="C38" s="6">
        <v>1.2</v>
      </c>
    </row>
    <row r="39" spans="1:3" x14ac:dyDescent="0.25">
      <c r="A39" s="9" t="s">
        <v>38</v>
      </c>
      <c r="B39" s="6">
        <v>20.440000000000001</v>
      </c>
      <c r="C39" s="6">
        <v>1.63</v>
      </c>
    </row>
    <row r="40" spans="1:3" x14ac:dyDescent="0.25">
      <c r="A40" s="9" t="s">
        <v>39</v>
      </c>
      <c r="B40" s="6">
        <v>20.45</v>
      </c>
      <c r="C40" s="6">
        <v>1.45</v>
      </c>
    </row>
    <row r="41" spans="1:3" x14ac:dyDescent="0.25">
      <c r="A41" s="9" t="s">
        <v>40</v>
      </c>
      <c r="B41" s="6">
        <v>20.14</v>
      </c>
      <c r="C41" s="6">
        <v>1.39</v>
      </c>
    </row>
    <row r="42" spans="1:3" x14ac:dyDescent="0.25">
      <c r="A42" s="9" t="s">
        <v>41</v>
      </c>
      <c r="B42" s="6">
        <v>20.059999999999999</v>
      </c>
      <c r="C42" s="6">
        <v>1.41</v>
      </c>
    </row>
    <row r="43" spans="1:3" x14ac:dyDescent="0.25">
      <c r="A43" s="9" t="s">
        <v>42</v>
      </c>
      <c r="B43" s="6">
        <v>20.36</v>
      </c>
      <c r="C43" s="6">
        <v>1.4</v>
      </c>
    </row>
    <row r="44" spans="1:3" x14ac:dyDescent="0.25">
      <c r="A44" s="9" t="s">
        <v>43</v>
      </c>
      <c r="B44" s="6">
        <v>20.51</v>
      </c>
      <c r="C44" s="6">
        <v>1.57</v>
      </c>
    </row>
    <row r="45" spans="1:3" x14ac:dyDescent="0.25">
      <c r="A45" s="9" t="s">
        <v>44</v>
      </c>
      <c r="B45" s="6">
        <v>20.43</v>
      </c>
      <c r="C45" s="6">
        <v>1.6</v>
      </c>
    </row>
    <row r="46" spans="1:3" x14ac:dyDescent="0.25">
      <c r="A46" s="9" t="s">
        <v>45</v>
      </c>
      <c r="B46" s="6">
        <v>20.53</v>
      </c>
      <c r="C46" s="6">
        <v>1.3</v>
      </c>
    </row>
    <row r="47" spans="1:3" x14ac:dyDescent="0.25">
      <c r="A47" s="9" t="s">
        <v>46</v>
      </c>
      <c r="B47" s="6">
        <v>20.45</v>
      </c>
      <c r="C47" s="6">
        <v>1.32</v>
      </c>
    </row>
    <row r="48" spans="1:3" x14ac:dyDescent="0.25">
      <c r="A48" s="9" t="s">
        <v>47</v>
      </c>
      <c r="B48" s="6">
        <v>20.68</v>
      </c>
      <c r="C48" s="6">
        <v>1.64</v>
      </c>
    </row>
    <row r="49" spans="1:3" x14ac:dyDescent="0.25">
      <c r="A49" s="9" t="s">
        <v>48</v>
      </c>
      <c r="B49" s="6">
        <v>20.309999999999999</v>
      </c>
      <c r="C49" s="6">
        <v>1.42</v>
      </c>
    </row>
    <row r="50" spans="1:3" x14ac:dyDescent="0.25">
      <c r="A50" s="9" t="s">
        <v>49</v>
      </c>
      <c r="B50" s="6">
        <v>20.350000000000001</v>
      </c>
      <c r="C50" s="6">
        <v>1.81</v>
      </c>
    </row>
    <row r="51" spans="1:3" x14ac:dyDescent="0.25">
      <c r="A51" s="9" t="s">
        <v>50</v>
      </c>
      <c r="B51" s="6">
        <v>21.3</v>
      </c>
      <c r="C51" s="6">
        <v>1.54</v>
      </c>
    </row>
    <row r="52" spans="1:3" x14ac:dyDescent="0.25">
      <c r="A52" s="9" t="s">
        <v>51</v>
      </c>
      <c r="B52" s="6">
        <v>20.5</v>
      </c>
      <c r="C52" s="6">
        <v>1.4</v>
      </c>
    </row>
    <row r="53" spans="1:3" x14ac:dyDescent="0.25">
      <c r="A53" s="9" t="s">
        <v>52</v>
      </c>
      <c r="B53" s="6">
        <v>20.65</v>
      </c>
      <c r="C53" s="6">
        <v>1.35</v>
      </c>
    </row>
    <row r="54" spans="1:3" x14ac:dyDescent="0.25">
      <c r="A54" s="9" t="s">
        <v>53</v>
      </c>
      <c r="B54" s="6">
        <v>25.3</v>
      </c>
      <c r="C54" s="6">
        <v>1.2</v>
      </c>
    </row>
    <row r="55" spans="1:3" x14ac:dyDescent="0.25">
      <c r="A55" s="9" t="s">
        <v>54</v>
      </c>
      <c r="B55" s="6">
        <v>20.6</v>
      </c>
      <c r="C55" s="6">
        <v>1.4</v>
      </c>
    </row>
    <row r="56" spans="1:3" x14ac:dyDescent="0.25">
      <c r="A56" s="9" t="s">
        <v>55</v>
      </c>
      <c r="B56" s="6">
        <v>20.5</v>
      </c>
      <c r="C56" s="6">
        <v>1.45</v>
      </c>
    </row>
    <row r="57" spans="1:3" x14ac:dyDescent="0.25">
      <c r="A57" s="9" t="s">
        <v>56</v>
      </c>
      <c r="B57" s="6">
        <v>20.65</v>
      </c>
      <c r="C57" s="6">
        <v>1.45</v>
      </c>
    </row>
    <row r="58" spans="1:3" x14ac:dyDescent="0.25">
      <c r="A58" s="9" t="s">
        <v>57</v>
      </c>
      <c r="B58" s="6">
        <v>20.5</v>
      </c>
      <c r="C58" s="6">
        <v>1.4</v>
      </c>
    </row>
    <row r="59" spans="1:3" x14ac:dyDescent="0.25">
      <c r="A59" s="9" t="s">
        <v>58</v>
      </c>
      <c r="B59" s="6">
        <v>20.350000000000001</v>
      </c>
      <c r="C59" s="6">
        <v>1.4</v>
      </c>
    </row>
    <row r="60" spans="1:3" x14ac:dyDescent="0.25">
      <c r="A60" s="9" t="s">
        <v>59</v>
      </c>
      <c r="B60" s="6">
        <v>20.45</v>
      </c>
      <c r="C60" s="6">
        <v>1.4</v>
      </c>
    </row>
    <row r="61" spans="1:3" x14ac:dyDescent="0.25">
      <c r="A61" s="9" t="s">
        <v>60</v>
      </c>
      <c r="B61" s="6">
        <v>20.45</v>
      </c>
      <c r="C61" s="6">
        <v>1.4</v>
      </c>
    </row>
    <row r="62" spans="1:3" x14ac:dyDescent="0.25">
      <c r="A62" s="9" t="s">
        <v>61</v>
      </c>
      <c r="B62" s="6">
        <v>20.3</v>
      </c>
      <c r="C62" s="6">
        <v>1.45</v>
      </c>
    </row>
    <row r="63" spans="1:3" x14ac:dyDescent="0.25">
      <c r="A63" s="9" t="s">
        <v>62</v>
      </c>
      <c r="B63" s="6">
        <v>20.5</v>
      </c>
      <c r="C63" s="6">
        <v>1.4</v>
      </c>
    </row>
    <row r="64" spans="1:3" x14ac:dyDescent="0.25">
      <c r="A64" s="9" t="s">
        <v>63</v>
      </c>
      <c r="B64" s="6">
        <v>20.3</v>
      </c>
      <c r="C64" s="6">
        <v>1.45</v>
      </c>
    </row>
    <row r="65" spans="1:3" x14ac:dyDescent="0.25">
      <c r="A65" s="9" t="s">
        <v>64</v>
      </c>
      <c r="B65" s="6">
        <v>20.55</v>
      </c>
      <c r="C65" s="6">
        <v>1.4</v>
      </c>
    </row>
    <row r="66" spans="1:3" x14ac:dyDescent="0.25">
      <c r="A66" s="9" t="s">
        <v>65</v>
      </c>
      <c r="B66" s="6">
        <v>24.5</v>
      </c>
      <c r="C66" s="6">
        <v>1.2</v>
      </c>
    </row>
    <row r="67" spans="1:3" x14ac:dyDescent="0.25">
      <c r="A67" s="9" t="s">
        <v>66</v>
      </c>
      <c r="B67" s="6">
        <v>20.3</v>
      </c>
      <c r="C67" s="6">
        <v>1.4</v>
      </c>
    </row>
    <row r="68" spans="1:3" x14ac:dyDescent="0.25">
      <c r="A68" s="9" t="s">
        <v>67</v>
      </c>
      <c r="B68" s="6">
        <v>25</v>
      </c>
      <c r="C68" s="6">
        <v>1.2</v>
      </c>
    </row>
    <row r="69" spans="1:3" x14ac:dyDescent="0.25">
      <c r="A69" s="9" t="s">
        <v>68</v>
      </c>
      <c r="B69" s="6">
        <v>20.75</v>
      </c>
      <c r="C69" s="6">
        <v>1.4</v>
      </c>
    </row>
    <row r="70" spans="1:3" x14ac:dyDescent="0.25">
      <c r="A70" s="9" t="s">
        <v>69</v>
      </c>
      <c r="B70" s="6">
        <v>20.65</v>
      </c>
      <c r="C70" s="6">
        <v>1.4</v>
      </c>
    </row>
    <row r="71" spans="1:3" x14ac:dyDescent="0.25">
      <c r="A71" s="9" t="s">
        <v>70</v>
      </c>
      <c r="B71" s="6">
        <v>20.8</v>
      </c>
      <c r="C71" s="6">
        <v>1.35</v>
      </c>
    </row>
    <row r="72" spans="1:3" x14ac:dyDescent="0.25">
      <c r="A72" s="9" t="s">
        <v>71</v>
      </c>
      <c r="B72" s="6">
        <v>25.3</v>
      </c>
      <c r="C72" s="6">
        <v>1.25</v>
      </c>
    </row>
    <row r="73" spans="1:3" x14ac:dyDescent="0.25">
      <c r="A73" s="9" t="s">
        <v>72</v>
      </c>
      <c r="B73" s="6">
        <v>20.6</v>
      </c>
      <c r="C73" s="6">
        <v>1.4</v>
      </c>
    </row>
    <row r="74" spans="1:3" x14ac:dyDescent="0.25">
      <c r="A74" s="9" t="s">
        <v>73</v>
      </c>
      <c r="B74" s="6">
        <v>20.5</v>
      </c>
      <c r="C74" s="6">
        <v>1.45</v>
      </c>
    </row>
    <row r="75" spans="1:3" x14ac:dyDescent="0.25">
      <c r="A75" s="9" t="s">
        <v>74</v>
      </c>
      <c r="B75" s="6">
        <v>20.55</v>
      </c>
      <c r="C75" s="6">
        <v>1.35</v>
      </c>
    </row>
    <row r="76" spans="1:3" x14ac:dyDescent="0.25">
      <c r="A76" s="9" t="s">
        <v>75</v>
      </c>
      <c r="B76" s="6">
        <v>20.399999999999999</v>
      </c>
      <c r="C76" s="6">
        <v>1.35</v>
      </c>
    </row>
    <row r="77" spans="1:3" x14ac:dyDescent="0.25">
      <c r="A77" s="9" t="s">
        <v>76</v>
      </c>
      <c r="B77" s="6">
        <v>20.65</v>
      </c>
      <c r="C77" s="6">
        <v>1.4</v>
      </c>
    </row>
    <row r="78" spans="1:3" x14ac:dyDescent="0.25">
      <c r="A78" s="9" t="s">
        <v>77</v>
      </c>
      <c r="B78" s="6">
        <v>25.2</v>
      </c>
      <c r="C78" s="6">
        <v>1.25</v>
      </c>
    </row>
    <row r="79" spans="1:3" x14ac:dyDescent="0.25">
      <c r="A79" s="9" t="s">
        <v>78</v>
      </c>
      <c r="B79" s="6">
        <v>20.6</v>
      </c>
      <c r="C79" s="6">
        <v>1.4</v>
      </c>
    </row>
    <row r="80" spans="1:3" x14ac:dyDescent="0.25">
      <c r="A80" s="9" t="s">
        <v>79</v>
      </c>
      <c r="B80" s="6">
        <v>20.45</v>
      </c>
      <c r="C80" s="6">
        <v>1.4</v>
      </c>
    </row>
    <row r="81" spans="1:3" x14ac:dyDescent="0.25">
      <c r="A81" s="9" t="s">
        <v>80</v>
      </c>
      <c r="B81" s="6">
        <v>20.6</v>
      </c>
      <c r="C81" s="6">
        <v>1.4</v>
      </c>
    </row>
    <row r="82" spans="1:3" x14ac:dyDescent="0.25">
      <c r="A82" s="9" t="s">
        <v>81</v>
      </c>
      <c r="B82" s="6">
        <v>20.6</v>
      </c>
      <c r="C82" s="6">
        <v>1.4</v>
      </c>
    </row>
    <row r="83" spans="1:3" x14ac:dyDescent="0.25">
      <c r="A83" s="9" t="s">
        <v>82</v>
      </c>
      <c r="B83" s="6">
        <v>20.6</v>
      </c>
      <c r="C83" s="6">
        <v>1.3</v>
      </c>
    </row>
    <row r="84" spans="1:3" x14ac:dyDescent="0.25">
      <c r="A84" s="9" t="s">
        <v>83</v>
      </c>
      <c r="B84" s="6">
        <v>20.3</v>
      </c>
      <c r="C84" s="6">
        <v>1.4</v>
      </c>
    </row>
    <row r="85" spans="1:3" x14ac:dyDescent="0.25">
      <c r="A85" s="9" t="s">
        <v>84</v>
      </c>
      <c r="B85" s="6">
        <v>24.9</v>
      </c>
      <c r="C85" s="6">
        <v>1.2</v>
      </c>
    </row>
    <row r="86" spans="1:3" x14ac:dyDescent="0.25">
      <c r="A86" s="9" t="s">
        <v>85</v>
      </c>
      <c r="B86" s="6">
        <v>20.399999999999999</v>
      </c>
      <c r="C86" s="6">
        <v>1.4</v>
      </c>
    </row>
    <row r="87" spans="1:3" x14ac:dyDescent="0.25">
      <c r="A87" s="9" t="s">
        <v>86</v>
      </c>
      <c r="B87" s="6">
        <v>20.399999999999999</v>
      </c>
      <c r="C87" s="6">
        <v>1.4</v>
      </c>
    </row>
    <row r="88" spans="1:3" x14ac:dyDescent="0.25">
      <c r="A88" s="9" t="s">
        <v>87</v>
      </c>
      <c r="B88" s="6">
        <v>25.1</v>
      </c>
      <c r="C88" s="6">
        <v>1.2</v>
      </c>
    </row>
    <row r="89" spans="1:3" x14ac:dyDescent="0.25">
      <c r="A89" s="9" t="s">
        <v>88</v>
      </c>
      <c r="B89" s="6">
        <v>20.5</v>
      </c>
      <c r="C89" s="6">
        <v>1.4</v>
      </c>
    </row>
    <row r="90" spans="1:3" x14ac:dyDescent="0.25">
      <c r="A90" s="9" t="s">
        <v>89</v>
      </c>
      <c r="B90" s="6">
        <v>20.6</v>
      </c>
      <c r="C90" s="6">
        <v>1.4</v>
      </c>
    </row>
    <row r="91" spans="1:3" x14ac:dyDescent="0.25">
      <c r="A91" s="9" t="s">
        <v>90</v>
      </c>
      <c r="B91" s="6">
        <v>20.7</v>
      </c>
      <c r="C91" s="6">
        <v>1.4</v>
      </c>
    </row>
    <row r="92" spans="1:3" x14ac:dyDescent="0.25">
      <c r="A92" s="9" t="s">
        <v>91</v>
      </c>
      <c r="B92" s="6">
        <v>20.6</v>
      </c>
      <c r="C92" s="6">
        <v>1.4</v>
      </c>
    </row>
    <row r="93" spans="1:3" x14ac:dyDescent="0.25">
      <c r="A93" s="9" t="s">
        <v>92</v>
      </c>
      <c r="B93" s="6">
        <v>25</v>
      </c>
      <c r="C93" s="6">
        <v>1.2</v>
      </c>
    </row>
    <row r="94" spans="1:3" x14ac:dyDescent="0.25">
      <c r="A94" s="9" t="s">
        <v>93</v>
      </c>
      <c r="B94" s="6">
        <v>20.25</v>
      </c>
      <c r="C94" s="6">
        <v>1.4</v>
      </c>
    </row>
    <row r="95" spans="1:3" x14ac:dyDescent="0.25">
      <c r="A95" s="9" t="s">
        <v>94</v>
      </c>
      <c r="B95" s="6">
        <v>20.5</v>
      </c>
      <c r="C95" s="6">
        <v>1.4</v>
      </c>
    </row>
    <row r="96" spans="1:3" x14ac:dyDescent="0.25">
      <c r="A96" s="9" t="s">
        <v>95</v>
      </c>
      <c r="B96" s="6">
        <v>20.399999999999999</v>
      </c>
      <c r="C96" s="6">
        <v>1.4</v>
      </c>
    </row>
    <row r="97" spans="1:3" x14ac:dyDescent="0.25">
      <c r="A97" s="9" t="s">
        <v>96</v>
      </c>
      <c r="B97" s="6">
        <v>20.5</v>
      </c>
      <c r="C97" s="6">
        <v>1.4</v>
      </c>
    </row>
    <row r="98" spans="1:3" x14ac:dyDescent="0.25">
      <c r="A98" s="9" t="s">
        <v>97</v>
      </c>
      <c r="B98" s="6">
        <v>20.5</v>
      </c>
      <c r="C98" s="6">
        <v>1.4</v>
      </c>
    </row>
    <row r="99" spans="1:3" x14ac:dyDescent="0.25">
      <c r="A99" s="9" t="s">
        <v>98</v>
      </c>
      <c r="B99" s="6">
        <v>20.55</v>
      </c>
      <c r="C99" s="6">
        <v>1.4</v>
      </c>
    </row>
    <row r="100" spans="1:3" x14ac:dyDescent="0.25">
      <c r="A100" s="9" t="s">
        <v>99</v>
      </c>
      <c r="B100" s="6">
        <v>20.65</v>
      </c>
      <c r="C100" s="6">
        <v>1.4</v>
      </c>
    </row>
    <row r="101" spans="1:3" x14ac:dyDescent="0.25">
      <c r="A101" s="9" t="s">
        <v>100</v>
      </c>
      <c r="B101" s="6">
        <v>20.7</v>
      </c>
      <c r="C101" s="6">
        <v>1.4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2"/>
  <sheetViews>
    <sheetView tabSelected="1" topLeftCell="B1" workbookViewId="0">
      <selection activeCell="S7" sqref="S7"/>
    </sheetView>
  </sheetViews>
  <sheetFormatPr defaultRowHeight="15.75" x14ac:dyDescent="0.25"/>
  <cols>
    <col min="1" max="1" width="6.5703125" style="10" bestFit="1" customWidth="1"/>
    <col min="2" max="2" width="13" style="1" bestFit="1" customWidth="1"/>
    <col min="4" max="4" width="7.42578125" bestFit="1" customWidth="1"/>
    <col min="5" max="5" width="8.140625" customWidth="1"/>
    <col min="6" max="6" width="7.85546875" customWidth="1"/>
    <col min="7" max="7" width="18" customWidth="1"/>
    <col min="9" max="9" width="13.7109375" style="1" bestFit="1" customWidth="1"/>
    <col min="11" max="11" width="7.42578125" bestFit="1" customWidth="1"/>
    <col min="14" max="14" width="15.5703125" customWidth="1"/>
    <col min="16" max="16" width="19.85546875" customWidth="1"/>
  </cols>
  <sheetData>
    <row r="1" spans="1:18" ht="16.5" thickBot="1" x14ac:dyDescent="0.3">
      <c r="A1" s="7" t="s">
        <v>0</v>
      </c>
      <c r="B1" s="3" t="s">
        <v>101</v>
      </c>
      <c r="C1" s="16" t="s">
        <v>104</v>
      </c>
      <c r="D1" s="16" t="s">
        <v>105</v>
      </c>
      <c r="E1" s="16" t="s">
        <v>106</v>
      </c>
      <c r="F1" s="16" t="s">
        <v>107</v>
      </c>
      <c r="G1" s="17" t="s">
        <v>108</v>
      </c>
      <c r="I1" s="4" t="s">
        <v>102</v>
      </c>
      <c r="J1" s="16" t="s">
        <v>104</v>
      </c>
      <c r="K1" s="16" t="s">
        <v>105</v>
      </c>
      <c r="L1" s="16" t="s">
        <v>106</v>
      </c>
      <c r="M1" s="16" t="s">
        <v>107</v>
      </c>
      <c r="N1" s="17" t="s">
        <v>108</v>
      </c>
      <c r="P1" s="17" t="s">
        <v>109</v>
      </c>
      <c r="Q1" s="17" t="s">
        <v>110</v>
      </c>
      <c r="R1" s="17" t="s">
        <v>111</v>
      </c>
    </row>
    <row r="2" spans="1:18" x14ac:dyDescent="0.25">
      <c r="A2" s="14">
        <v>1</v>
      </c>
      <c r="B2" s="5">
        <v>20.51</v>
      </c>
      <c r="C2" s="12">
        <f>B2-20.47</f>
        <v>4.00000000000027E-2</v>
      </c>
      <c r="D2" s="13">
        <f>C2^2</f>
        <v>1.600000000000216E-3</v>
      </c>
      <c r="E2" s="13">
        <f>D2/90*(90-1)</f>
        <v>1.5822222222224359E-3</v>
      </c>
      <c r="F2" s="13">
        <f>E2*1.96</f>
        <v>3.101155555555974E-3</v>
      </c>
      <c r="G2" s="13">
        <f>(F2/20.47)*100%</f>
        <v>1.5149758454108327E-4</v>
      </c>
      <c r="H2" s="13"/>
      <c r="I2" s="5">
        <v>1.45</v>
      </c>
      <c r="J2" s="12">
        <f>I2-1.43</f>
        <v>2.0000000000000018E-2</v>
      </c>
      <c r="K2" s="13">
        <f>J2^2</f>
        <v>4.0000000000000072E-4</v>
      </c>
      <c r="L2" s="13">
        <f>K2/90*(90-1)</f>
        <v>3.9555555555555627E-4</v>
      </c>
      <c r="M2" s="13">
        <f>L2*1.96</f>
        <v>7.7528888888889029E-4</v>
      </c>
      <c r="N2" s="13">
        <f>(M2/1.43)*100%</f>
        <v>5.421600621600632E-4</v>
      </c>
      <c r="P2" s="12">
        <f>B2*I2</f>
        <v>29.7395</v>
      </c>
      <c r="Q2" s="13">
        <f>G2+N2</f>
        <v>6.9365764670114649E-4</v>
      </c>
      <c r="R2" s="13">
        <f>P2*Q2</f>
        <v>2.0629031584068747E-2</v>
      </c>
    </row>
    <row r="3" spans="1:18" x14ac:dyDescent="0.25">
      <c r="A3" s="15">
        <v>2</v>
      </c>
      <c r="B3" s="6">
        <v>20.58</v>
      </c>
      <c r="C3" s="12">
        <f t="shared" ref="C3:C66" si="0">B3-20.47</f>
        <v>0.10999999999999943</v>
      </c>
      <c r="D3" s="13">
        <f t="shared" ref="D3:D66" si="1">C3^2</f>
        <v>1.2099999999999875E-2</v>
      </c>
      <c r="E3" s="13">
        <f t="shared" ref="E3:E66" si="2">D3/90*(90-1)</f>
        <v>1.1965555555555433E-2</v>
      </c>
      <c r="F3" s="13">
        <f t="shared" ref="F3:F66" si="3">E3*1.96</f>
        <v>2.3452488888888647E-2</v>
      </c>
      <c r="G3" s="13">
        <f t="shared" ref="G3:G66" si="4">(F3/20.47)*100%</f>
        <v>1.1457004830917757E-3</v>
      </c>
      <c r="H3" s="13"/>
      <c r="I3" s="6">
        <v>1.37</v>
      </c>
      <c r="J3" s="12">
        <f t="shared" ref="J3:J43" si="5">I3-1.43</f>
        <v>-5.9999999999999831E-2</v>
      </c>
      <c r="K3" s="13">
        <f t="shared" ref="K3:K66" si="6">J3^2</f>
        <v>3.59999999999998E-3</v>
      </c>
      <c r="L3" s="13">
        <f t="shared" ref="L3:L66" si="7">K3/90*(90-1)</f>
        <v>3.5599999999999803E-3</v>
      </c>
      <c r="M3" s="13">
        <f t="shared" ref="M3:M67" si="8">L3*1.96</f>
        <v>6.9775999999999614E-3</v>
      </c>
      <c r="N3" s="13">
        <f t="shared" ref="N3:N68" si="9">(M3/1.43)*100%</f>
        <v>4.8794405594405326E-3</v>
      </c>
      <c r="P3" s="12">
        <f t="shared" ref="P3:P39" si="10">B3*I3</f>
        <v>28.194600000000001</v>
      </c>
      <c r="Q3" s="13">
        <f t="shared" ref="Q3:Q66" si="11">G3+N3</f>
        <v>6.0251410425323088E-3</v>
      </c>
      <c r="R3" s="13">
        <f t="shared" ref="R3:R66" si="12">P3*Q3</f>
        <v>0.16987644163778143</v>
      </c>
    </row>
    <row r="4" spans="1:18" x14ac:dyDescent="0.25">
      <c r="A4" s="15">
        <v>3</v>
      </c>
      <c r="B4" s="6">
        <v>20.47</v>
      </c>
      <c r="C4" s="12">
        <f t="shared" si="0"/>
        <v>0</v>
      </c>
      <c r="D4" s="13">
        <f t="shared" si="1"/>
        <v>0</v>
      </c>
      <c r="E4" s="13">
        <f t="shared" si="2"/>
        <v>0</v>
      </c>
      <c r="F4" s="13">
        <f t="shared" si="3"/>
        <v>0</v>
      </c>
      <c r="G4" s="13">
        <f t="shared" si="4"/>
        <v>0</v>
      </c>
      <c r="H4" s="13"/>
      <c r="I4" s="6">
        <v>1.4</v>
      </c>
      <c r="J4" s="12">
        <f t="shared" si="5"/>
        <v>-3.0000000000000027E-2</v>
      </c>
      <c r="K4" s="13">
        <f t="shared" si="6"/>
        <v>9.000000000000016E-4</v>
      </c>
      <c r="L4" s="13">
        <f t="shared" si="7"/>
        <v>8.9000000000000158E-4</v>
      </c>
      <c r="M4" s="13">
        <f t="shared" si="8"/>
        <v>1.7444000000000032E-3</v>
      </c>
      <c r="N4" s="13">
        <f t="shared" si="9"/>
        <v>1.219860139860142E-3</v>
      </c>
      <c r="P4" s="12">
        <f t="shared" si="10"/>
        <v>28.657999999999998</v>
      </c>
      <c r="Q4" s="13">
        <f t="shared" si="11"/>
        <v>1.219860139860142E-3</v>
      </c>
      <c r="R4" s="13">
        <f t="shared" si="12"/>
        <v>3.4958751888111948E-2</v>
      </c>
    </row>
    <row r="5" spans="1:18" x14ac:dyDescent="0.25">
      <c r="A5" s="15">
        <v>4</v>
      </c>
      <c r="B5" s="6">
        <v>20.56</v>
      </c>
      <c r="C5" s="12">
        <f t="shared" si="0"/>
        <v>8.9999999999999858E-2</v>
      </c>
      <c r="D5" s="13">
        <f t="shared" si="1"/>
        <v>8.0999999999999753E-3</v>
      </c>
      <c r="E5" s="13">
        <f t="shared" si="2"/>
        <v>8.0099999999999755E-3</v>
      </c>
      <c r="F5" s="13">
        <f t="shared" si="3"/>
        <v>1.5699599999999952E-2</v>
      </c>
      <c r="G5" s="13">
        <f t="shared" si="4"/>
        <v>7.669565217391282E-4</v>
      </c>
      <c r="H5" s="13"/>
      <c r="I5" s="6">
        <v>1.48</v>
      </c>
      <c r="J5" s="12">
        <f t="shared" si="5"/>
        <v>5.0000000000000044E-2</v>
      </c>
      <c r="K5" s="13">
        <f t="shared" si="6"/>
        <v>2.5000000000000044E-3</v>
      </c>
      <c r="L5" s="13">
        <f t="shared" si="7"/>
        <v>2.4722222222222263E-3</v>
      </c>
      <c r="M5" s="13">
        <f t="shared" si="8"/>
        <v>4.8455555555555639E-3</v>
      </c>
      <c r="N5" s="13">
        <f t="shared" si="9"/>
        <v>3.3885003885003946E-3</v>
      </c>
      <c r="P5" s="12">
        <f t="shared" si="10"/>
        <v>30.428799999999999</v>
      </c>
      <c r="Q5" s="13">
        <f t="shared" si="11"/>
        <v>4.1554569102395227E-3</v>
      </c>
      <c r="R5" s="13">
        <f t="shared" si="12"/>
        <v>0.12644556723029637</v>
      </c>
    </row>
    <row r="6" spans="1:18" x14ac:dyDescent="0.25">
      <c r="A6" s="15">
        <v>5</v>
      </c>
      <c r="B6" s="6">
        <v>20.48</v>
      </c>
      <c r="C6" s="12">
        <f t="shared" si="0"/>
        <v>1.0000000000001563E-2</v>
      </c>
      <c r="D6" s="13">
        <f t="shared" si="1"/>
        <v>1.0000000000003127E-4</v>
      </c>
      <c r="E6" s="13">
        <f t="shared" si="2"/>
        <v>9.8888888888919806E-5</v>
      </c>
      <c r="F6" s="13">
        <f t="shared" si="3"/>
        <v>1.9382222222228283E-4</v>
      </c>
      <c r="G6" s="13">
        <f t="shared" si="4"/>
        <v>9.4685990338193863E-6</v>
      </c>
      <c r="H6" s="13"/>
      <c r="I6" s="6">
        <v>1.5</v>
      </c>
      <c r="J6" s="12">
        <f t="shared" si="5"/>
        <v>7.0000000000000062E-2</v>
      </c>
      <c r="K6" s="13">
        <f t="shared" si="6"/>
        <v>4.9000000000000085E-3</v>
      </c>
      <c r="L6" s="13">
        <f t="shared" si="7"/>
        <v>4.8455555555555639E-3</v>
      </c>
      <c r="M6" s="13">
        <f t="shared" si="8"/>
        <v>9.4972888888889048E-3</v>
      </c>
      <c r="N6" s="13">
        <f t="shared" si="9"/>
        <v>6.641460761460773E-3</v>
      </c>
      <c r="P6" s="12">
        <f t="shared" si="10"/>
        <v>30.72</v>
      </c>
      <c r="Q6" s="13">
        <f t="shared" si="11"/>
        <v>6.6509293604945924E-3</v>
      </c>
      <c r="R6" s="13">
        <f t="shared" si="12"/>
        <v>0.20431654995439388</v>
      </c>
    </row>
    <row r="7" spans="1:18" x14ac:dyDescent="0.25">
      <c r="A7" s="14">
        <v>6</v>
      </c>
      <c r="B7" s="6">
        <v>20.55</v>
      </c>
      <c r="C7" s="12">
        <f t="shared" si="0"/>
        <v>8.0000000000001847E-2</v>
      </c>
      <c r="D7" s="13">
        <f t="shared" si="1"/>
        <v>6.4000000000002952E-3</v>
      </c>
      <c r="E7" s="13">
        <f t="shared" si="2"/>
        <v>6.3288888888891805E-3</v>
      </c>
      <c r="F7" s="13">
        <f t="shared" si="3"/>
        <v>1.2404622222222793E-2</v>
      </c>
      <c r="G7" s="13">
        <f t="shared" si="4"/>
        <v>6.0599033816427907E-4</v>
      </c>
      <c r="H7" s="13"/>
      <c r="I7" s="6">
        <v>1.51</v>
      </c>
      <c r="J7" s="12">
        <f t="shared" si="5"/>
        <v>8.0000000000000071E-2</v>
      </c>
      <c r="K7" s="13">
        <f t="shared" si="6"/>
        <v>6.4000000000000116E-3</v>
      </c>
      <c r="L7" s="13">
        <f t="shared" si="7"/>
        <v>6.3288888888889004E-3</v>
      </c>
      <c r="M7" s="13">
        <f t="shared" si="8"/>
        <v>1.2404622222222245E-2</v>
      </c>
      <c r="N7" s="13">
        <f t="shared" si="9"/>
        <v>8.6745609945610112E-3</v>
      </c>
      <c r="P7" s="12">
        <f t="shared" si="10"/>
        <v>31.0305</v>
      </c>
      <c r="Q7" s="13">
        <f t="shared" si="11"/>
        <v>9.2805513327252898E-3</v>
      </c>
      <c r="R7" s="13">
        <f t="shared" si="12"/>
        <v>0.28798014813013212</v>
      </c>
    </row>
    <row r="8" spans="1:18" x14ac:dyDescent="0.25">
      <c r="A8" s="15">
        <v>7</v>
      </c>
      <c r="B8" s="6">
        <v>20.66</v>
      </c>
      <c r="C8" s="12">
        <f t="shared" si="0"/>
        <v>0.19000000000000128</v>
      </c>
      <c r="D8" s="13">
        <f t="shared" si="1"/>
        <v>3.6100000000000486E-2</v>
      </c>
      <c r="E8" s="13">
        <f t="shared" si="2"/>
        <v>3.569888888888937E-2</v>
      </c>
      <c r="F8" s="13">
        <f t="shared" si="3"/>
        <v>6.9969822222223158E-2</v>
      </c>
      <c r="G8" s="13">
        <f t="shared" si="4"/>
        <v>3.4181642512077755E-3</v>
      </c>
      <c r="H8" s="13"/>
      <c r="I8" s="6">
        <v>1.6</v>
      </c>
      <c r="J8" s="12">
        <f t="shared" si="5"/>
        <v>0.17000000000000015</v>
      </c>
      <c r="K8" s="13">
        <f t="shared" si="6"/>
        <v>2.8900000000000051E-2</v>
      </c>
      <c r="L8" s="13">
        <f t="shared" si="7"/>
        <v>2.8578888888888942E-2</v>
      </c>
      <c r="M8" s="13">
        <f t="shared" si="8"/>
        <v>5.6014622222222324E-2</v>
      </c>
      <c r="N8" s="13">
        <f t="shared" si="9"/>
        <v>3.9171064491064563E-2</v>
      </c>
      <c r="P8" s="12">
        <f t="shared" si="10"/>
        <v>33.056000000000004</v>
      </c>
      <c r="Q8" s="13">
        <f t="shared" si="11"/>
        <v>4.2589228742272341E-2</v>
      </c>
      <c r="R8" s="13">
        <f t="shared" si="12"/>
        <v>1.4078295453045546</v>
      </c>
    </row>
    <row r="9" spans="1:18" x14ac:dyDescent="0.25">
      <c r="A9" s="15">
        <v>8</v>
      </c>
      <c r="B9" s="6">
        <v>20.43</v>
      </c>
      <c r="C9" s="12">
        <f t="shared" si="0"/>
        <v>-3.9999999999999147E-2</v>
      </c>
      <c r="D9" s="13">
        <f t="shared" si="1"/>
        <v>1.5999999999999318E-3</v>
      </c>
      <c r="E9" s="13">
        <f t="shared" si="2"/>
        <v>1.5822222222221548E-3</v>
      </c>
      <c r="F9" s="13">
        <f t="shared" si="3"/>
        <v>3.1011555555554233E-3</v>
      </c>
      <c r="G9" s="13">
        <f t="shared" si="4"/>
        <v>1.5149758454105635E-4</v>
      </c>
      <c r="H9" s="13"/>
      <c r="I9" s="6">
        <v>1.22</v>
      </c>
      <c r="J9" s="12">
        <f t="shared" si="5"/>
        <v>-0.20999999999999996</v>
      </c>
      <c r="K9" s="13">
        <f t="shared" si="6"/>
        <v>4.4099999999999986E-2</v>
      </c>
      <c r="L9" s="13">
        <f t="shared" si="7"/>
        <v>4.3609999999999989E-2</v>
      </c>
      <c r="M9" s="13">
        <f t="shared" si="8"/>
        <v>8.5475599999999971E-2</v>
      </c>
      <c r="N9" s="13">
        <f t="shared" si="9"/>
        <v>5.9773146853146837E-2</v>
      </c>
      <c r="P9" s="12">
        <f t="shared" si="10"/>
        <v>24.924599999999998</v>
      </c>
      <c r="Q9" s="13">
        <f t="shared" si="11"/>
        <v>5.9924644437687892E-2</v>
      </c>
      <c r="R9" s="13">
        <f t="shared" si="12"/>
        <v>1.4935977927515955</v>
      </c>
    </row>
    <row r="10" spans="1:18" x14ac:dyDescent="0.25">
      <c r="A10" s="15">
        <v>9</v>
      </c>
      <c r="B10" s="6">
        <v>20.53</v>
      </c>
      <c r="C10" s="12">
        <f t="shared" si="0"/>
        <v>6.0000000000002274E-2</v>
      </c>
      <c r="D10" s="13">
        <f t="shared" si="1"/>
        <v>3.6000000000002727E-3</v>
      </c>
      <c r="E10" s="13">
        <f t="shared" si="2"/>
        <v>3.56000000000027E-3</v>
      </c>
      <c r="F10" s="13">
        <f t="shared" si="3"/>
        <v>6.9776000000005287E-3</v>
      </c>
      <c r="G10" s="13">
        <f t="shared" si="4"/>
        <v>3.4086956521741713E-4</v>
      </c>
      <c r="H10" s="13"/>
      <c r="I10" s="6">
        <v>1.32</v>
      </c>
      <c r="J10" s="12">
        <f t="shared" si="5"/>
        <v>-0.10999999999999988</v>
      </c>
      <c r="K10" s="13">
        <f t="shared" si="6"/>
        <v>1.2099999999999972E-2</v>
      </c>
      <c r="L10" s="13">
        <f t="shared" si="7"/>
        <v>1.1965555555555528E-2</v>
      </c>
      <c r="M10" s="13">
        <f t="shared" si="8"/>
        <v>2.3452488888888835E-2</v>
      </c>
      <c r="N10" s="13">
        <f t="shared" si="9"/>
        <v>1.6400341880341843E-2</v>
      </c>
      <c r="P10" s="12">
        <f t="shared" si="10"/>
        <v>27.099600000000002</v>
      </c>
      <c r="Q10" s="13">
        <f t="shared" si="11"/>
        <v>1.6741211445559262E-2</v>
      </c>
      <c r="R10" s="13">
        <f t="shared" si="12"/>
        <v>0.45368013369007781</v>
      </c>
    </row>
    <row r="11" spans="1:18" x14ac:dyDescent="0.25">
      <c r="A11" s="15">
        <v>10</v>
      </c>
      <c r="B11" s="6">
        <v>20.12</v>
      </c>
      <c r="C11" s="12">
        <f t="shared" si="0"/>
        <v>-0.34999999999999787</v>
      </c>
      <c r="D11" s="13">
        <f t="shared" si="1"/>
        <v>0.12249999999999851</v>
      </c>
      <c r="E11" s="13">
        <f t="shared" si="2"/>
        <v>0.12113888888888742</v>
      </c>
      <c r="F11" s="13">
        <f t="shared" si="3"/>
        <v>0.23743222222221935</v>
      </c>
      <c r="G11" s="13">
        <f t="shared" si="4"/>
        <v>1.1599033816424981E-2</v>
      </c>
      <c r="H11" s="13"/>
      <c r="I11" s="6">
        <v>1.44</v>
      </c>
      <c r="J11" s="12">
        <f t="shared" si="5"/>
        <v>1.0000000000000009E-2</v>
      </c>
      <c r="K11" s="13">
        <f t="shared" si="6"/>
        <v>1.0000000000000018E-4</v>
      </c>
      <c r="L11" s="13">
        <f t="shared" si="7"/>
        <v>9.8888888888889068E-5</v>
      </c>
      <c r="M11" s="13">
        <f t="shared" si="8"/>
        <v>1.9382222222222257E-4</v>
      </c>
      <c r="N11" s="13">
        <f t="shared" si="9"/>
        <v>1.355400155400158E-4</v>
      </c>
      <c r="P11" s="12">
        <f t="shared" si="10"/>
        <v>28.972799999999999</v>
      </c>
      <c r="Q11" s="13">
        <f t="shared" si="11"/>
        <v>1.1734573831964997E-2</v>
      </c>
      <c r="R11" s="13">
        <f t="shared" si="12"/>
        <v>0.33998346071875546</v>
      </c>
    </row>
    <row r="12" spans="1:18" x14ac:dyDescent="0.25">
      <c r="A12" s="14">
        <v>11</v>
      </c>
      <c r="B12" s="6">
        <v>20.34</v>
      </c>
      <c r="C12" s="12">
        <f t="shared" si="0"/>
        <v>-0.12999999999999901</v>
      </c>
      <c r="D12" s="13">
        <f t="shared" si="1"/>
        <v>1.6899999999999742E-2</v>
      </c>
      <c r="E12" s="13">
        <f t="shared" si="2"/>
        <v>1.6712222222221969E-2</v>
      </c>
      <c r="F12" s="13">
        <f t="shared" si="3"/>
        <v>3.2755955555555057E-2</v>
      </c>
      <c r="G12" s="13">
        <f t="shared" si="4"/>
        <v>1.6001932367149516E-3</v>
      </c>
      <c r="H12" s="13"/>
      <c r="I12" s="6">
        <v>1.3</v>
      </c>
      <c r="J12" s="12">
        <f t="shared" si="5"/>
        <v>-0.12999999999999989</v>
      </c>
      <c r="K12" s="13">
        <f t="shared" si="6"/>
        <v>1.6899999999999971E-2</v>
      </c>
      <c r="L12" s="13">
        <f t="shared" si="7"/>
        <v>1.6712222222222194E-2</v>
      </c>
      <c r="M12" s="13">
        <f t="shared" si="8"/>
        <v>3.2755955555555501E-2</v>
      </c>
      <c r="N12" s="13">
        <f t="shared" si="9"/>
        <v>2.2906262626262591E-2</v>
      </c>
      <c r="P12" s="12">
        <f t="shared" si="10"/>
        <v>26.442</v>
      </c>
      <c r="Q12" s="13">
        <f t="shared" si="11"/>
        <v>2.4506455862977543E-2</v>
      </c>
      <c r="R12" s="13">
        <f t="shared" si="12"/>
        <v>0.64799970592885225</v>
      </c>
    </row>
    <row r="13" spans="1:18" x14ac:dyDescent="0.25">
      <c r="A13" s="15">
        <v>12</v>
      </c>
      <c r="B13" s="6">
        <v>20.39</v>
      </c>
      <c r="C13" s="12">
        <f t="shared" si="0"/>
        <v>-7.9999999999998295E-2</v>
      </c>
      <c r="D13" s="13">
        <f t="shared" si="1"/>
        <v>6.3999999999997271E-3</v>
      </c>
      <c r="E13" s="13">
        <f t="shared" si="2"/>
        <v>6.3288888888886194E-3</v>
      </c>
      <c r="F13" s="13">
        <f t="shared" si="3"/>
        <v>1.2404622222221693E-2</v>
      </c>
      <c r="G13" s="13">
        <f t="shared" si="4"/>
        <v>6.059903381642254E-4</v>
      </c>
      <c r="H13" s="13"/>
      <c r="I13" s="6">
        <v>1.33</v>
      </c>
      <c r="J13" s="12">
        <f t="shared" si="5"/>
        <v>-9.9999999999999867E-2</v>
      </c>
      <c r="K13" s="13">
        <f t="shared" si="6"/>
        <v>9.9999999999999742E-3</v>
      </c>
      <c r="L13" s="13">
        <f t="shared" si="7"/>
        <v>9.888888888888862E-3</v>
      </c>
      <c r="M13" s="13">
        <f t="shared" si="8"/>
        <v>1.9382222222222169E-2</v>
      </c>
      <c r="N13" s="13">
        <f t="shared" si="9"/>
        <v>1.3554001554001518E-2</v>
      </c>
      <c r="P13" s="12">
        <f t="shared" si="10"/>
        <v>27.1187</v>
      </c>
      <c r="Q13" s="13">
        <f t="shared" si="11"/>
        <v>1.4159991892165743E-2</v>
      </c>
      <c r="R13" s="13">
        <f t="shared" si="12"/>
        <v>0.38400057212607513</v>
      </c>
    </row>
    <row r="14" spans="1:18" x14ac:dyDescent="0.25">
      <c r="A14" s="15">
        <v>13</v>
      </c>
      <c r="B14" s="6">
        <v>20.52</v>
      </c>
      <c r="C14" s="12">
        <f t="shared" si="0"/>
        <v>5.0000000000000711E-2</v>
      </c>
      <c r="D14" s="13">
        <f t="shared" si="1"/>
        <v>2.5000000000000712E-3</v>
      </c>
      <c r="E14" s="13">
        <f t="shared" si="2"/>
        <v>2.4722222222222927E-3</v>
      </c>
      <c r="F14" s="13">
        <f t="shared" si="3"/>
        <v>4.845555555555694E-3</v>
      </c>
      <c r="G14" s="13">
        <f t="shared" si="4"/>
        <v>2.367149758454174E-4</v>
      </c>
      <c r="H14" s="13"/>
      <c r="I14" s="6">
        <v>1.49</v>
      </c>
      <c r="J14" s="12">
        <f t="shared" si="5"/>
        <v>6.0000000000000053E-2</v>
      </c>
      <c r="K14" s="13">
        <f t="shared" si="6"/>
        <v>3.6000000000000064E-3</v>
      </c>
      <c r="L14" s="13">
        <f t="shared" si="7"/>
        <v>3.5600000000000063E-3</v>
      </c>
      <c r="M14" s="13">
        <f t="shared" si="8"/>
        <v>6.9776000000000126E-3</v>
      </c>
      <c r="N14" s="13">
        <f t="shared" si="9"/>
        <v>4.8794405594405682E-3</v>
      </c>
      <c r="P14" s="12">
        <f t="shared" si="10"/>
        <v>30.5748</v>
      </c>
      <c r="Q14" s="13">
        <f t="shared" si="11"/>
        <v>5.1161555352859855E-3</v>
      </c>
      <c r="R14" s="13">
        <f t="shared" si="12"/>
        <v>0.15642543226026195</v>
      </c>
    </row>
    <row r="15" spans="1:18" x14ac:dyDescent="0.25">
      <c r="A15" s="15">
        <v>14</v>
      </c>
      <c r="B15" s="6">
        <v>20.440000000000001</v>
      </c>
      <c r="C15" s="12">
        <f t="shared" si="0"/>
        <v>-2.9999999999997584E-2</v>
      </c>
      <c r="D15" s="13">
        <f t="shared" si="1"/>
        <v>8.9999999999985502E-4</v>
      </c>
      <c r="E15" s="13">
        <f t="shared" si="2"/>
        <v>8.8999999999985673E-4</v>
      </c>
      <c r="F15" s="13">
        <f t="shared" si="3"/>
        <v>1.7443999999997191E-3</v>
      </c>
      <c r="G15" s="13">
        <f t="shared" si="4"/>
        <v>8.5217391304334103E-5</v>
      </c>
      <c r="H15" s="13"/>
      <c r="I15" s="6">
        <v>1.55</v>
      </c>
      <c r="J15" s="12">
        <f t="shared" si="5"/>
        <v>0.12000000000000011</v>
      </c>
      <c r="K15" s="13">
        <f t="shared" si="6"/>
        <v>1.4400000000000026E-2</v>
      </c>
      <c r="L15" s="13">
        <f t="shared" si="7"/>
        <v>1.4240000000000025E-2</v>
      </c>
      <c r="M15" s="13">
        <f t="shared" si="8"/>
        <v>2.791040000000005E-2</v>
      </c>
      <c r="N15" s="13">
        <f t="shared" si="9"/>
        <v>1.9517762237762273E-2</v>
      </c>
      <c r="P15" s="12">
        <f t="shared" si="10"/>
        <v>31.682000000000002</v>
      </c>
      <c r="Q15" s="13">
        <f t="shared" si="11"/>
        <v>1.9602979629066607E-2</v>
      </c>
      <c r="R15" s="13">
        <f t="shared" si="12"/>
        <v>0.62106160060808835</v>
      </c>
    </row>
    <row r="16" spans="1:18" x14ac:dyDescent="0.25">
      <c r="A16" s="15">
        <v>15</v>
      </c>
      <c r="B16" s="6">
        <v>20.69</v>
      </c>
      <c r="C16" s="12">
        <f t="shared" si="0"/>
        <v>0.22000000000000242</v>
      </c>
      <c r="D16" s="13">
        <f t="shared" si="1"/>
        <v>4.840000000000106E-2</v>
      </c>
      <c r="E16" s="13">
        <f t="shared" si="2"/>
        <v>4.786222222222327E-2</v>
      </c>
      <c r="F16" s="13">
        <f t="shared" si="3"/>
        <v>9.3809955555557614E-2</v>
      </c>
      <c r="G16" s="13">
        <f t="shared" si="4"/>
        <v>4.5828019323672503E-3</v>
      </c>
      <c r="H16" s="13"/>
      <c r="I16" s="6">
        <v>1.41</v>
      </c>
      <c r="J16" s="12">
        <f>I16-1.43</f>
        <v>-2.0000000000000018E-2</v>
      </c>
      <c r="K16" s="13">
        <f t="shared" si="6"/>
        <v>4.0000000000000072E-4</v>
      </c>
      <c r="L16" s="13">
        <f t="shared" si="7"/>
        <v>3.9555555555555627E-4</v>
      </c>
      <c r="M16" s="13">
        <f t="shared" si="8"/>
        <v>7.7528888888889029E-4</v>
      </c>
      <c r="N16" s="13">
        <f t="shared" si="9"/>
        <v>5.421600621600632E-4</v>
      </c>
      <c r="P16" s="12">
        <f t="shared" si="10"/>
        <v>29.172899999999998</v>
      </c>
      <c r="Q16" s="13">
        <f t="shared" si="11"/>
        <v>5.1249619945273137E-3</v>
      </c>
      <c r="R16" s="13">
        <f t="shared" si="12"/>
        <v>0.14951000377014587</v>
      </c>
    </row>
    <row r="17" spans="1:18" x14ac:dyDescent="0.25">
      <c r="A17" s="14">
        <v>16</v>
      </c>
      <c r="B17" s="6">
        <v>20.010000000000002</v>
      </c>
      <c r="C17" s="12">
        <f t="shared" si="0"/>
        <v>-0.4599999999999973</v>
      </c>
      <c r="D17" s="13">
        <f t="shared" si="1"/>
        <v>0.21159999999999751</v>
      </c>
      <c r="E17" s="13">
        <f t="shared" si="2"/>
        <v>0.20924888888888643</v>
      </c>
      <c r="F17" s="13">
        <f t="shared" si="3"/>
        <v>0.41012782222221739</v>
      </c>
      <c r="G17" s="13">
        <f t="shared" si="4"/>
        <v>2.0035555555555321E-2</v>
      </c>
      <c r="H17" s="13"/>
      <c r="I17" s="6">
        <v>1.36</v>
      </c>
      <c r="J17" s="12">
        <f t="shared" si="5"/>
        <v>-6.999999999999984E-2</v>
      </c>
      <c r="K17" s="13">
        <f t="shared" si="6"/>
        <v>4.8999999999999773E-3</v>
      </c>
      <c r="L17" s="13">
        <f t="shared" si="7"/>
        <v>4.8455555555555335E-3</v>
      </c>
      <c r="M17" s="13">
        <f t="shared" si="8"/>
        <v>9.4972888888888458E-3</v>
      </c>
      <c r="N17" s="13">
        <f t="shared" si="9"/>
        <v>6.6414607614607313E-3</v>
      </c>
      <c r="P17" s="12">
        <f t="shared" si="10"/>
        <v>27.213600000000003</v>
      </c>
      <c r="Q17" s="13">
        <f t="shared" si="11"/>
        <v>2.667701631701605E-2</v>
      </c>
      <c r="R17" s="13">
        <f t="shared" si="12"/>
        <v>0.72597765124474811</v>
      </c>
    </row>
    <row r="18" spans="1:18" x14ac:dyDescent="0.25">
      <c r="A18" s="15">
        <v>17</v>
      </c>
      <c r="B18" s="6">
        <v>20.079999999999998</v>
      </c>
      <c r="C18" s="12">
        <f t="shared" si="0"/>
        <v>-0.39000000000000057</v>
      </c>
      <c r="D18" s="13">
        <f t="shared" si="1"/>
        <v>0.15210000000000046</v>
      </c>
      <c r="E18" s="13">
        <f>D18/90*(90-1)</f>
        <v>0.15041000000000046</v>
      </c>
      <c r="F18" s="13">
        <f t="shared" si="3"/>
        <v>0.29480360000000089</v>
      </c>
      <c r="G18" s="13">
        <f t="shared" si="4"/>
        <v>1.4401739130434826E-2</v>
      </c>
      <c r="H18" s="13"/>
      <c r="I18" s="6">
        <v>1.4</v>
      </c>
      <c r="J18" s="12">
        <f t="shared" si="5"/>
        <v>-3.0000000000000027E-2</v>
      </c>
      <c r="K18" s="13">
        <f t="shared" si="6"/>
        <v>9.000000000000016E-4</v>
      </c>
      <c r="L18" s="13">
        <f t="shared" si="7"/>
        <v>8.9000000000000158E-4</v>
      </c>
      <c r="M18" s="13">
        <f t="shared" si="8"/>
        <v>1.7444000000000032E-3</v>
      </c>
      <c r="N18" s="13">
        <f t="shared" si="9"/>
        <v>1.219860139860142E-3</v>
      </c>
      <c r="P18" s="12">
        <f t="shared" si="10"/>
        <v>28.111999999999995</v>
      </c>
      <c r="Q18" s="13">
        <f t="shared" si="11"/>
        <v>1.5621599270294969E-2</v>
      </c>
      <c r="R18" s="13">
        <f t="shared" si="12"/>
        <v>0.43915439868653205</v>
      </c>
    </row>
    <row r="19" spans="1:18" x14ac:dyDescent="0.25">
      <c r="A19" s="14">
        <v>18</v>
      </c>
      <c r="B19" s="6">
        <v>20.2</v>
      </c>
      <c r="C19" s="12">
        <f t="shared" si="0"/>
        <v>-0.26999999999999957</v>
      </c>
      <c r="D19" s="13">
        <f t="shared" si="1"/>
        <v>7.2899999999999771E-2</v>
      </c>
      <c r="E19" s="13">
        <f t="shared" si="2"/>
        <v>7.2089999999999779E-2</v>
      </c>
      <c r="F19" s="13">
        <f t="shared" si="3"/>
        <v>0.14129639999999957</v>
      </c>
      <c r="G19" s="13">
        <f t="shared" si="4"/>
        <v>6.9026086956521533E-3</v>
      </c>
      <c r="H19" s="13"/>
      <c r="I19" s="6">
        <v>1.3</v>
      </c>
      <c r="J19" s="12">
        <f t="shared" si="5"/>
        <v>-0.12999999999999989</v>
      </c>
      <c r="K19" s="13">
        <f t="shared" si="6"/>
        <v>1.6899999999999971E-2</v>
      </c>
      <c r="L19" s="13">
        <f t="shared" si="7"/>
        <v>1.6712222222222194E-2</v>
      </c>
      <c r="M19" s="13">
        <f t="shared" si="8"/>
        <v>3.2755955555555501E-2</v>
      </c>
      <c r="N19" s="13">
        <f t="shared" si="9"/>
        <v>2.2906262626262591E-2</v>
      </c>
      <c r="P19" s="12">
        <f t="shared" si="10"/>
        <v>26.26</v>
      </c>
      <c r="Q19" s="13">
        <f>G19+N19</f>
        <v>2.9808871321914746E-2</v>
      </c>
      <c r="R19" s="13">
        <f t="shared" si="12"/>
        <v>0.78278096091348126</v>
      </c>
    </row>
    <row r="20" spans="1:18" x14ac:dyDescent="0.25">
      <c r="A20" s="15">
        <v>19</v>
      </c>
      <c r="B20" s="6">
        <v>20.64</v>
      </c>
      <c r="C20" s="12">
        <f t="shared" si="0"/>
        <v>0.17000000000000171</v>
      </c>
      <c r="D20" s="13">
        <f t="shared" si="1"/>
        <v>2.8900000000000581E-2</v>
      </c>
      <c r="E20" s="13">
        <f t="shared" si="2"/>
        <v>2.8578888888889462E-2</v>
      </c>
      <c r="F20" s="13">
        <f t="shared" si="3"/>
        <v>5.6014622222223344E-2</v>
      </c>
      <c r="G20" s="13">
        <f t="shared" si="4"/>
        <v>2.7364251207730016E-3</v>
      </c>
      <c r="H20" s="13"/>
      <c r="I20" s="6">
        <v>1.48</v>
      </c>
      <c r="J20" s="12">
        <f t="shared" si="5"/>
        <v>5.0000000000000044E-2</v>
      </c>
      <c r="K20" s="13">
        <f t="shared" si="6"/>
        <v>2.5000000000000044E-3</v>
      </c>
      <c r="L20" s="13">
        <f t="shared" si="7"/>
        <v>2.4722222222222263E-3</v>
      </c>
      <c r="M20" s="13">
        <f t="shared" si="8"/>
        <v>4.8455555555555639E-3</v>
      </c>
      <c r="N20" s="13">
        <f t="shared" si="9"/>
        <v>3.3885003885003946E-3</v>
      </c>
      <c r="P20" s="12">
        <f t="shared" si="10"/>
        <v>30.5472</v>
      </c>
      <c r="Q20" s="13">
        <f t="shared" si="11"/>
        <v>6.1249255092733958E-3</v>
      </c>
      <c r="R20" s="13">
        <f t="shared" si="12"/>
        <v>0.18709932451687628</v>
      </c>
    </row>
    <row r="21" spans="1:18" x14ac:dyDescent="0.25">
      <c r="A21" s="15">
        <v>20</v>
      </c>
      <c r="B21" s="6">
        <v>20.5</v>
      </c>
      <c r="C21" s="12">
        <f t="shared" si="0"/>
        <v>3.0000000000001137E-2</v>
      </c>
      <c r="D21" s="13">
        <f t="shared" si="1"/>
        <v>9.0000000000006817E-4</v>
      </c>
      <c r="E21" s="13">
        <f t="shared" si="2"/>
        <v>8.9000000000006749E-4</v>
      </c>
      <c r="F21" s="13">
        <f t="shared" si="3"/>
        <v>1.7444000000001322E-3</v>
      </c>
      <c r="G21" s="13">
        <f t="shared" si="4"/>
        <v>8.5217391304354283E-5</v>
      </c>
      <c r="H21" s="13"/>
      <c r="I21" s="6">
        <v>1.4</v>
      </c>
      <c r="J21" s="12">
        <f t="shared" si="5"/>
        <v>-3.0000000000000027E-2</v>
      </c>
      <c r="K21" s="13">
        <f t="shared" si="6"/>
        <v>9.000000000000016E-4</v>
      </c>
      <c r="L21" s="13">
        <f t="shared" si="7"/>
        <v>8.9000000000000158E-4</v>
      </c>
      <c r="M21" s="13">
        <f>L21*1.96</f>
        <v>1.7444000000000032E-3</v>
      </c>
      <c r="N21" s="13">
        <f t="shared" si="9"/>
        <v>1.219860139860142E-3</v>
      </c>
      <c r="P21" s="12">
        <f t="shared" si="10"/>
        <v>28.7</v>
      </c>
      <c r="Q21" s="13">
        <f t="shared" si="11"/>
        <v>1.3050775311644963E-3</v>
      </c>
      <c r="R21" s="13">
        <f t="shared" si="12"/>
        <v>3.745572514442104E-2</v>
      </c>
    </row>
    <row r="22" spans="1:18" x14ac:dyDescent="0.25">
      <c r="A22" s="15">
        <v>21</v>
      </c>
      <c r="B22" s="6">
        <v>20.61</v>
      </c>
      <c r="C22" s="12">
        <f t="shared" si="0"/>
        <v>0.14000000000000057</v>
      </c>
      <c r="D22" s="13">
        <f t="shared" si="1"/>
        <v>1.9600000000000159E-2</v>
      </c>
      <c r="E22" s="13">
        <f t="shared" si="2"/>
        <v>1.938222222222238E-2</v>
      </c>
      <c r="F22" s="13">
        <f t="shared" si="3"/>
        <v>3.7989155555555862E-2</v>
      </c>
      <c r="G22" s="13">
        <f t="shared" si="4"/>
        <v>1.8558454106280345E-3</v>
      </c>
      <c r="H22" s="13"/>
      <c r="I22" s="6">
        <v>1.41</v>
      </c>
      <c r="J22" s="12">
        <f t="shared" si="5"/>
        <v>-2.0000000000000018E-2</v>
      </c>
      <c r="K22" s="13">
        <f t="shared" si="6"/>
        <v>4.0000000000000072E-4</v>
      </c>
      <c r="L22" s="13">
        <f t="shared" si="7"/>
        <v>3.9555555555555627E-4</v>
      </c>
      <c r="M22" s="13">
        <f t="shared" si="8"/>
        <v>7.7528888888889029E-4</v>
      </c>
      <c r="N22" s="13">
        <f t="shared" si="9"/>
        <v>5.421600621600632E-4</v>
      </c>
      <c r="P22" s="12">
        <f t="shared" si="10"/>
        <v>29.060099999999998</v>
      </c>
      <c r="Q22" s="13">
        <f t="shared" si="11"/>
        <v>2.3980054727880977E-3</v>
      </c>
      <c r="R22" s="13">
        <f t="shared" si="12"/>
        <v>6.9686278839769397E-2</v>
      </c>
    </row>
    <row r="23" spans="1:18" x14ac:dyDescent="0.25">
      <c r="A23" s="15">
        <v>22</v>
      </c>
      <c r="B23" s="6">
        <v>20.51</v>
      </c>
      <c r="C23" s="12">
        <f t="shared" si="0"/>
        <v>4.00000000000027E-2</v>
      </c>
      <c r="D23" s="13">
        <f t="shared" si="1"/>
        <v>1.600000000000216E-3</v>
      </c>
      <c r="E23" s="13">
        <f t="shared" si="2"/>
        <v>1.5822222222224359E-3</v>
      </c>
      <c r="F23" s="13">
        <f t="shared" si="3"/>
        <v>3.101155555555974E-3</v>
      </c>
      <c r="G23" s="13">
        <f t="shared" si="4"/>
        <v>1.5149758454108327E-4</v>
      </c>
      <c r="H23" s="13"/>
      <c r="I23" s="6">
        <v>1.4</v>
      </c>
      <c r="J23" s="12">
        <f t="shared" si="5"/>
        <v>-3.0000000000000027E-2</v>
      </c>
      <c r="K23" s="13">
        <f t="shared" si="6"/>
        <v>9.000000000000016E-4</v>
      </c>
      <c r="L23" s="13">
        <f t="shared" si="7"/>
        <v>8.9000000000000158E-4</v>
      </c>
      <c r="M23" s="13">
        <f t="shared" si="8"/>
        <v>1.7444000000000032E-3</v>
      </c>
      <c r="N23" s="13">
        <f>(M23/1.43)*100%</f>
        <v>1.219860139860142E-3</v>
      </c>
      <c r="P23" s="12">
        <f t="shared" si="10"/>
        <v>28.713999999999999</v>
      </c>
      <c r="Q23" s="13">
        <f t="shared" si="11"/>
        <v>1.3713577244012253E-3</v>
      </c>
      <c r="R23" s="13">
        <f t="shared" si="12"/>
        <v>3.9377165698456784E-2</v>
      </c>
    </row>
    <row r="24" spans="1:18" x14ac:dyDescent="0.25">
      <c r="A24" s="14">
        <v>23</v>
      </c>
      <c r="B24" s="6">
        <v>20.18</v>
      </c>
      <c r="C24" s="12">
        <f t="shared" si="0"/>
        <v>-0.28999999999999915</v>
      </c>
      <c r="D24" s="13">
        <f t="shared" si="1"/>
        <v>8.4099999999999508E-2</v>
      </c>
      <c r="E24" s="13">
        <f t="shared" si="2"/>
        <v>8.3165555555555076E-2</v>
      </c>
      <c r="F24" s="13">
        <f t="shared" si="3"/>
        <v>0.16300448888888794</v>
      </c>
      <c r="G24" s="13">
        <f t="shared" si="4"/>
        <v>7.9630917874395669E-3</v>
      </c>
      <c r="H24" s="13"/>
      <c r="I24" s="6">
        <v>1.41</v>
      </c>
      <c r="J24" s="12">
        <f t="shared" si="5"/>
        <v>-2.0000000000000018E-2</v>
      </c>
      <c r="K24" s="13">
        <f t="shared" si="6"/>
        <v>4.0000000000000072E-4</v>
      </c>
      <c r="L24" s="13">
        <f t="shared" si="7"/>
        <v>3.9555555555555627E-4</v>
      </c>
      <c r="M24" s="13">
        <f t="shared" si="8"/>
        <v>7.7528888888889029E-4</v>
      </c>
      <c r="N24" s="13">
        <f t="shared" si="9"/>
        <v>5.421600621600632E-4</v>
      </c>
      <c r="P24" s="12">
        <f t="shared" si="10"/>
        <v>28.453799999999998</v>
      </c>
      <c r="Q24" s="13">
        <f t="shared" si="11"/>
        <v>8.5052518495996304E-3</v>
      </c>
      <c r="R24" s="13">
        <f t="shared" si="12"/>
        <v>0.24200673507813794</v>
      </c>
    </row>
    <row r="25" spans="1:18" x14ac:dyDescent="0.25">
      <c r="A25" s="15">
        <v>24</v>
      </c>
      <c r="B25" s="6">
        <v>20.62</v>
      </c>
      <c r="C25" s="12">
        <f t="shared" si="0"/>
        <v>0.15000000000000213</v>
      </c>
      <c r="D25" s="13">
        <f t="shared" si="1"/>
        <v>2.2500000000000641E-2</v>
      </c>
      <c r="E25" s="13">
        <f t="shared" si="2"/>
        <v>2.2250000000000634E-2</v>
      </c>
      <c r="F25" s="13">
        <f t="shared" si="3"/>
        <v>4.3610000000001245E-2</v>
      </c>
      <c r="G25" s="13">
        <f t="shared" si="4"/>
        <v>2.1304347826087565E-3</v>
      </c>
      <c r="H25" s="13"/>
      <c r="I25" s="6">
        <v>1.42</v>
      </c>
      <c r="J25" s="12">
        <f t="shared" si="5"/>
        <v>-1.0000000000000009E-2</v>
      </c>
      <c r="K25" s="13">
        <f t="shared" si="6"/>
        <v>1.0000000000000018E-4</v>
      </c>
      <c r="L25" s="13">
        <f t="shared" si="7"/>
        <v>9.8888888888889068E-5</v>
      </c>
      <c r="M25" s="13">
        <f t="shared" si="8"/>
        <v>1.9382222222222257E-4</v>
      </c>
      <c r="N25" s="13">
        <f t="shared" si="9"/>
        <v>1.355400155400158E-4</v>
      </c>
      <c r="P25" s="12">
        <f t="shared" si="10"/>
        <v>29.2804</v>
      </c>
      <c r="Q25" s="13">
        <f t="shared" si="11"/>
        <v>2.2659747981487724E-3</v>
      </c>
      <c r="R25" s="13">
        <f t="shared" si="12"/>
        <v>6.6348648479715319E-2</v>
      </c>
    </row>
    <row r="26" spans="1:18" x14ac:dyDescent="0.25">
      <c r="A26" s="15">
        <v>25</v>
      </c>
      <c r="B26" s="6">
        <v>20.7</v>
      </c>
      <c r="C26" s="12">
        <f t="shared" si="0"/>
        <v>0.23000000000000043</v>
      </c>
      <c r="D26" s="13">
        <f t="shared" si="1"/>
        <v>5.2900000000000197E-2</v>
      </c>
      <c r="E26" s="13">
        <f t="shared" si="2"/>
        <v>5.2312222222222413E-2</v>
      </c>
      <c r="F26" s="13">
        <f>E26*1.96</f>
        <v>0.10253195555555593</v>
      </c>
      <c r="G26" s="13">
        <f t="shared" si="4"/>
        <v>5.0088888888889073E-3</v>
      </c>
      <c r="H26" s="13"/>
      <c r="I26" s="6">
        <v>1.65</v>
      </c>
      <c r="J26" s="12">
        <f t="shared" si="5"/>
        <v>0.21999999999999997</v>
      </c>
      <c r="K26" s="13">
        <f t="shared" si="6"/>
        <v>4.8399999999999992E-2</v>
      </c>
      <c r="L26" s="13">
        <f>K26/90*(90-1)</f>
        <v>4.7862222222222209E-2</v>
      </c>
      <c r="M26" s="13">
        <f t="shared" si="8"/>
        <v>9.3809955555555533E-2</v>
      </c>
      <c r="N26" s="13">
        <f t="shared" si="9"/>
        <v>6.5601367521367512E-2</v>
      </c>
      <c r="P26" s="12">
        <f t="shared" si="10"/>
        <v>34.154999999999994</v>
      </c>
      <c r="Q26" s="13">
        <f t="shared" si="11"/>
        <v>7.0610256410256422E-2</v>
      </c>
      <c r="R26" s="13">
        <f t="shared" si="12"/>
        <v>2.4116933076923077</v>
      </c>
    </row>
    <row r="27" spans="1:18" x14ac:dyDescent="0.25">
      <c r="A27" s="15">
        <v>26</v>
      </c>
      <c r="B27" s="6">
        <v>20.51</v>
      </c>
      <c r="C27" s="12">
        <f t="shared" si="0"/>
        <v>4.00000000000027E-2</v>
      </c>
      <c r="D27" s="13">
        <f t="shared" si="1"/>
        <v>1.600000000000216E-3</v>
      </c>
      <c r="E27" s="13">
        <f t="shared" si="2"/>
        <v>1.5822222222224359E-3</v>
      </c>
      <c r="F27" s="13">
        <f t="shared" si="3"/>
        <v>3.101155555555974E-3</v>
      </c>
      <c r="G27" s="13">
        <f t="shared" si="4"/>
        <v>1.5149758454108327E-4</v>
      </c>
      <c r="H27" s="13"/>
      <c r="I27" s="6">
        <v>1.56</v>
      </c>
      <c r="J27" s="12">
        <f t="shared" si="5"/>
        <v>0.13000000000000012</v>
      </c>
      <c r="K27" s="13">
        <f t="shared" si="6"/>
        <v>1.690000000000003E-2</v>
      </c>
      <c r="L27" s="13">
        <f t="shared" si="7"/>
        <v>1.6712222222222253E-2</v>
      </c>
      <c r="M27" s="13">
        <f t="shared" si="8"/>
        <v>3.2755955555555619E-2</v>
      </c>
      <c r="N27" s="13">
        <f t="shared" si="9"/>
        <v>2.290626262626267E-2</v>
      </c>
      <c r="P27" s="12">
        <f t="shared" si="10"/>
        <v>31.995600000000003</v>
      </c>
      <c r="Q27" s="13">
        <f t="shared" si="11"/>
        <v>2.3057760210803753E-2</v>
      </c>
      <c r="R27" s="13">
        <f t="shared" si="12"/>
        <v>0.73774687260079264</v>
      </c>
    </row>
    <row r="28" spans="1:18" x14ac:dyDescent="0.25">
      <c r="A28" s="15">
        <v>27</v>
      </c>
      <c r="B28" s="6">
        <v>20.329999999999998</v>
      </c>
      <c r="C28" s="12">
        <f t="shared" si="0"/>
        <v>-0.14000000000000057</v>
      </c>
      <c r="D28" s="13">
        <f t="shared" si="1"/>
        <v>1.9600000000000159E-2</v>
      </c>
      <c r="E28" s="13">
        <f t="shared" si="2"/>
        <v>1.938222222222238E-2</v>
      </c>
      <c r="F28" s="13">
        <f t="shared" si="3"/>
        <v>3.7989155555555862E-2</v>
      </c>
      <c r="G28" s="13">
        <f t="shared" si="4"/>
        <v>1.8558454106280345E-3</v>
      </c>
      <c r="H28" s="13"/>
      <c r="I28" s="6">
        <v>1.54</v>
      </c>
      <c r="J28" s="12">
        <f t="shared" si="5"/>
        <v>0.1100000000000001</v>
      </c>
      <c r="K28" s="13">
        <f t="shared" si="6"/>
        <v>1.2100000000000022E-2</v>
      </c>
      <c r="L28" s="13">
        <f t="shared" si="7"/>
        <v>1.1965555555555576E-2</v>
      </c>
      <c r="M28" s="13">
        <f t="shared" si="8"/>
        <v>2.3452488888888928E-2</v>
      </c>
      <c r="N28" s="13">
        <f t="shared" si="9"/>
        <v>1.6400341880341909E-2</v>
      </c>
      <c r="P28" s="12">
        <f t="shared" si="10"/>
        <v>31.308199999999999</v>
      </c>
      <c r="Q28" s="13">
        <f t="shared" si="11"/>
        <v>1.8256187290969943E-2</v>
      </c>
      <c r="R28" s="13">
        <f t="shared" si="12"/>
        <v>0.57156836294314517</v>
      </c>
    </row>
    <row r="29" spans="1:18" x14ac:dyDescent="0.25">
      <c r="A29" s="14">
        <v>28</v>
      </c>
      <c r="B29" s="6">
        <v>20.440000000000001</v>
      </c>
      <c r="C29" s="12">
        <f t="shared" si="0"/>
        <v>-2.9999999999997584E-2</v>
      </c>
      <c r="D29" s="13">
        <f t="shared" si="1"/>
        <v>8.9999999999985502E-4</v>
      </c>
      <c r="E29" s="13">
        <f t="shared" si="2"/>
        <v>8.8999999999985673E-4</v>
      </c>
      <c r="F29" s="13">
        <f t="shared" si="3"/>
        <v>1.7443999999997191E-3</v>
      </c>
      <c r="G29" s="13">
        <f t="shared" si="4"/>
        <v>8.5217391304334103E-5</v>
      </c>
      <c r="H29" s="13"/>
      <c r="I29" s="6">
        <v>1.44</v>
      </c>
      <c r="J29" s="12">
        <f t="shared" si="5"/>
        <v>1.0000000000000009E-2</v>
      </c>
      <c r="K29" s="13">
        <f t="shared" si="6"/>
        <v>1.0000000000000018E-4</v>
      </c>
      <c r="L29" s="13">
        <f t="shared" si="7"/>
        <v>9.8888888888889068E-5</v>
      </c>
      <c r="M29" s="13">
        <f t="shared" si="8"/>
        <v>1.9382222222222257E-4</v>
      </c>
      <c r="N29" s="13">
        <f t="shared" si="9"/>
        <v>1.355400155400158E-4</v>
      </c>
      <c r="P29" s="12">
        <f t="shared" si="10"/>
        <v>29.433600000000002</v>
      </c>
      <c r="Q29" s="13">
        <f t="shared" si="11"/>
        <v>2.207574068443499E-4</v>
      </c>
      <c r="R29" s="13">
        <f t="shared" si="12"/>
        <v>6.4976852100938577E-3</v>
      </c>
    </row>
    <row r="30" spans="1:18" x14ac:dyDescent="0.25">
      <c r="A30" s="15">
        <v>29</v>
      </c>
      <c r="B30" s="6">
        <v>20.55</v>
      </c>
      <c r="C30" s="12">
        <f t="shared" si="0"/>
        <v>8.0000000000001847E-2</v>
      </c>
      <c r="D30" s="13">
        <f t="shared" si="1"/>
        <v>6.4000000000002952E-3</v>
      </c>
      <c r="E30" s="13">
        <f t="shared" si="2"/>
        <v>6.3288888888891805E-3</v>
      </c>
      <c r="F30" s="13">
        <f t="shared" si="3"/>
        <v>1.2404622222222793E-2</v>
      </c>
      <c r="G30" s="13">
        <f t="shared" si="4"/>
        <v>6.0599033816427907E-4</v>
      </c>
      <c r="H30" s="13"/>
      <c r="I30" s="6">
        <v>1.61</v>
      </c>
      <c r="J30" s="12">
        <f>I30-1.43</f>
        <v>0.18000000000000016</v>
      </c>
      <c r="K30" s="13">
        <f t="shared" si="6"/>
        <v>3.2400000000000061E-2</v>
      </c>
      <c r="L30" s="13">
        <f t="shared" si="7"/>
        <v>3.2040000000000061E-2</v>
      </c>
      <c r="M30" s="13">
        <f t="shared" si="8"/>
        <v>6.2798400000000115E-2</v>
      </c>
      <c r="N30" s="13">
        <f t="shared" si="9"/>
        <v>4.3914965034965114E-2</v>
      </c>
      <c r="P30" s="12">
        <f t="shared" si="10"/>
        <v>33.085500000000003</v>
      </c>
      <c r="Q30" s="13">
        <f t="shared" si="11"/>
        <v>4.4520955373129396E-2</v>
      </c>
      <c r="R30" s="13">
        <f t="shared" si="12"/>
        <v>1.4729980689976727</v>
      </c>
    </row>
    <row r="31" spans="1:18" x14ac:dyDescent="0.25">
      <c r="A31" s="15">
        <v>30</v>
      </c>
      <c r="B31" s="6">
        <v>20.36</v>
      </c>
      <c r="C31" s="12">
        <f t="shared" si="0"/>
        <v>-0.10999999999999943</v>
      </c>
      <c r="D31" s="13">
        <f t="shared" si="1"/>
        <v>1.2099999999999875E-2</v>
      </c>
      <c r="E31" s="13">
        <f t="shared" si="2"/>
        <v>1.1965555555555433E-2</v>
      </c>
      <c r="F31" s="13">
        <f t="shared" si="3"/>
        <v>2.3452488888888647E-2</v>
      </c>
      <c r="G31" s="13">
        <f t="shared" si="4"/>
        <v>1.1457004830917757E-3</v>
      </c>
      <c r="H31" s="13"/>
      <c r="I31" s="6">
        <v>1.81</v>
      </c>
      <c r="J31" s="12">
        <f t="shared" si="5"/>
        <v>0.38000000000000012</v>
      </c>
      <c r="K31" s="13">
        <f t="shared" si="6"/>
        <v>0.14440000000000008</v>
      </c>
      <c r="L31" s="13">
        <f t="shared" si="7"/>
        <v>0.14279555555555565</v>
      </c>
      <c r="M31" s="13">
        <f t="shared" si="8"/>
        <v>0.27987928888888908</v>
      </c>
      <c r="N31" s="13">
        <f t="shared" si="9"/>
        <v>0.19571978243978258</v>
      </c>
      <c r="P31" s="12">
        <f t="shared" si="10"/>
        <v>36.851599999999998</v>
      </c>
      <c r="Q31" s="13">
        <f t="shared" si="11"/>
        <v>0.19686548292287437</v>
      </c>
      <c r="R31" s="13">
        <f t="shared" si="12"/>
        <v>7.2548080304805964</v>
      </c>
    </row>
    <row r="32" spans="1:18" x14ac:dyDescent="0.25">
      <c r="A32" s="15">
        <v>31</v>
      </c>
      <c r="B32" s="6">
        <v>20.54</v>
      </c>
      <c r="C32" s="12">
        <f t="shared" si="0"/>
        <v>7.0000000000000284E-2</v>
      </c>
      <c r="D32" s="13">
        <f t="shared" si="1"/>
        <v>4.9000000000000397E-3</v>
      </c>
      <c r="E32" s="13">
        <f t="shared" si="2"/>
        <v>4.8455555555555951E-3</v>
      </c>
      <c r="F32" s="13">
        <f t="shared" si="3"/>
        <v>9.4972888888889655E-3</v>
      </c>
      <c r="G32" s="13">
        <f t="shared" si="4"/>
        <v>4.6396135265700862E-4</v>
      </c>
      <c r="H32" s="13"/>
      <c r="I32" s="6">
        <v>1.65</v>
      </c>
      <c r="J32" s="12">
        <f t="shared" si="5"/>
        <v>0.21999999999999997</v>
      </c>
      <c r="K32" s="13">
        <f t="shared" si="6"/>
        <v>4.8399999999999992E-2</v>
      </c>
      <c r="L32" s="13">
        <f t="shared" si="7"/>
        <v>4.7862222222222209E-2</v>
      </c>
      <c r="M32" s="13">
        <f t="shared" si="8"/>
        <v>9.3809955555555533E-2</v>
      </c>
      <c r="N32" s="13">
        <f t="shared" si="9"/>
        <v>6.5601367521367512E-2</v>
      </c>
      <c r="P32" s="12">
        <f t="shared" si="10"/>
        <v>33.890999999999998</v>
      </c>
      <c r="Q32" s="13">
        <f t="shared" si="11"/>
        <v>6.6065328874024526E-2</v>
      </c>
      <c r="R32" s="13">
        <f t="shared" si="12"/>
        <v>2.239020060869565</v>
      </c>
    </row>
    <row r="33" spans="1:18" x14ac:dyDescent="0.25">
      <c r="A33" s="15">
        <v>32</v>
      </c>
      <c r="B33" s="6">
        <v>20.45</v>
      </c>
      <c r="C33" s="12">
        <f t="shared" si="0"/>
        <v>-1.9999999999999574E-2</v>
      </c>
      <c r="D33" s="13">
        <f t="shared" si="1"/>
        <v>3.9999999999998294E-4</v>
      </c>
      <c r="E33" s="13">
        <f t="shared" si="2"/>
        <v>3.9555555555553871E-4</v>
      </c>
      <c r="F33" s="13">
        <f t="shared" si="3"/>
        <v>7.7528888888885581E-4</v>
      </c>
      <c r="G33" s="13">
        <f t="shared" si="4"/>
        <v>3.7874396135264087E-5</v>
      </c>
      <c r="H33" s="13"/>
      <c r="I33" s="6">
        <v>1.33</v>
      </c>
      <c r="J33" s="12">
        <f t="shared" si="5"/>
        <v>-9.9999999999999867E-2</v>
      </c>
      <c r="K33" s="13">
        <f t="shared" si="6"/>
        <v>9.9999999999999742E-3</v>
      </c>
      <c r="L33" s="13">
        <f t="shared" si="7"/>
        <v>9.888888888888862E-3</v>
      </c>
      <c r="M33" s="13">
        <f t="shared" si="8"/>
        <v>1.9382222222222169E-2</v>
      </c>
      <c r="N33" s="13">
        <f t="shared" si="9"/>
        <v>1.3554001554001518E-2</v>
      </c>
      <c r="P33" s="12">
        <f t="shared" si="10"/>
        <v>27.198499999999999</v>
      </c>
      <c r="Q33" s="13">
        <f t="shared" si="11"/>
        <v>1.3591875950136782E-2</v>
      </c>
      <c r="R33" s="13">
        <f t="shared" si="12"/>
        <v>0.36967863802979523</v>
      </c>
    </row>
    <row r="34" spans="1:18" x14ac:dyDescent="0.25">
      <c r="A34" s="14">
        <v>33</v>
      </c>
      <c r="B34" s="6">
        <v>20.67</v>
      </c>
      <c r="C34" s="12">
        <f t="shared" si="0"/>
        <v>0.20000000000000284</v>
      </c>
      <c r="D34" s="13">
        <f t="shared" si="1"/>
        <v>4.0000000000001139E-2</v>
      </c>
      <c r="E34" s="13">
        <f>D34/90*(90-1)</f>
        <v>3.9555555555556683E-2</v>
      </c>
      <c r="F34" s="13">
        <f t="shared" si="3"/>
        <v>7.7528888888891104E-2</v>
      </c>
      <c r="G34" s="13">
        <f t="shared" si="4"/>
        <v>3.7874396135266783E-3</v>
      </c>
      <c r="H34" s="13"/>
      <c r="I34" s="6">
        <v>1.29</v>
      </c>
      <c r="J34" s="12">
        <f t="shared" si="5"/>
        <v>-0.1399999999999999</v>
      </c>
      <c r="K34" s="13">
        <f t="shared" si="6"/>
        <v>1.9599999999999972E-2</v>
      </c>
      <c r="L34" s="13">
        <f t="shared" si="7"/>
        <v>1.9382222222222193E-2</v>
      </c>
      <c r="M34" s="13">
        <f t="shared" si="8"/>
        <v>3.7989155555555501E-2</v>
      </c>
      <c r="N34" s="13">
        <f t="shared" si="9"/>
        <v>2.6565843045843009E-2</v>
      </c>
      <c r="P34" s="12">
        <f t="shared" si="10"/>
        <v>26.664300000000004</v>
      </c>
      <c r="Q34" s="13">
        <f t="shared" si="11"/>
        <v>3.0353282659369686E-2</v>
      </c>
      <c r="R34" s="13">
        <f t="shared" si="12"/>
        <v>0.80934903481423126</v>
      </c>
    </row>
    <row r="35" spans="1:18" x14ac:dyDescent="0.25">
      <c r="A35" s="15">
        <v>34</v>
      </c>
      <c r="B35" s="6">
        <v>20.28</v>
      </c>
      <c r="C35" s="12">
        <f t="shared" si="0"/>
        <v>-0.18999999999999773</v>
      </c>
      <c r="D35" s="13">
        <f t="shared" si="1"/>
        <v>3.6099999999999133E-2</v>
      </c>
      <c r="E35" s="13">
        <f t="shared" si="2"/>
        <v>3.5698888888888031E-2</v>
      </c>
      <c r="F35" s="13">
        <f t="shared" si="3"/>
        <v>6.9969822222220535E-2</v>
      </c>
      <c r="G35" s="13">
        <f t="shared" si="4"/>
        <v>3.4181642512076471E-3</v>
      </c>
      <c r="H35" s="13"/>
      <c r="I35" s="6">
        <v>1.6</v>
      </c>
      <c r="J35" s="12">
        <f t="shared" si="5"/>
        <v>0.17000000000000015</v>
      </c>
      <c r="K35" s="13">
        <f t="shared" si="6"/>
        <v>2.8900000000000051E-2</v>
      </c>
      <c r="L35" s="13">
        <f t="shared" si="7"/>
        <v>2.8578888888888942E-2</v>
      </c>
      <c r="M35" s="13">
        <f t="shared" si="8"/>
        <v>5.6014622222222324E-2</v>
      </c>
      <c r="N35" s="13">
        <f t="shared" si="9"/>
        <v>3.9171064491064563E-2</v>
      </c>
      <c r="P35" s="12">
        <f t="shared" si="10"/>
        <v>32.448</v>
      </c>
      <c r="Q35" s="13">
        <f t="shared" si="11"/>
        <v>4.2589228742272209E-2</v>
      </c>
      <c r="R35" s="13">
        <f t="shared" si="12"/>
        <v>1.3819352942292487</v>
      </c>
    </row>
    <row r="36" spans="1:18" x14ac:dyDescent="0.25">
      <c r="A36" s="14">
        <v>35</v>
      </c>
      <c r="B36" s="6">
        <v>20.170000000000002</v>
      </c>
      <c r="C36" s="12">
        <f t="shared" si="0"/>
        <v>-0.29999999999999716</v>
      </c>
      <c r="D36" s="13">
        <f t="shared" si="1"/>
        <v>8.999999999999829E-2</v>
      </c>
      <c r="E36" s="13">
        <f t="shared" si="2"/>
        <v>8.8999999999998303E-2</v>
      </c>
      <c r="F36" s="13">
        <f t="shared" si="3"/>
        <v>0.17443999999999668</v>
      </c>
      <c r="G36" s="13">
        <f t="shared" si="4"/>
        <v>8.5217391304346201E-3</v>
      </c>
      <c r="H36" s="13"/>
      <c r="I36" s="6">
        <v>1.43</v>
      </c>
      <c r="J36" s="12">
        <f t="shared" si="5"/>
        <v>0</v>
      </c>
      <c r="K36" s="13">
        <f t="shared" si="6"/>
        <v>0</v>
      </c>
      <c r="L36" s="13">
        <f t="shared" si="7"/>
        <v>0</v>
      </c>
      <c r="M36" s="13">
        <f t="shared" si="8"/>
        <v>0</v>
      </c>
      <c r="N36" s="13">
        <f t="shared" si="9"/>
        <v>0</v>
      </c>
      <c r="P36" s="12">
        <f t="shared" si="10"/>
        <v>28.8431</v>
      </c>
      <c r="Q36" s="13">
        <f>G36+N36</f>
        <v>8.5217391304346201E-3</v>
      </c>
      <c r="R36" s="13">
        <f t="shared" si="12"/>
        <v>0.24579337391303879</v>
      </c>
    </row>
    <row r="37" spans="1:18" x14ac:dyDescent="0.25">
      <c r="A37" s="15">
        <v>36</v>
      </c>
      <c r="B37" s="6">
        <v>20.29</v>
      </c>
      <c r="C37" s="12">
        <f t="shared" si="0"/>
        <v>-0.17999999999999972</v>
      </c>
      <c r="D37" s="13">
        <f t="shared" si="1"/>
        <v>3.2399999999999901E-2</v>
      </c>
      <c r="E37" s="13">
        <f t="shared" si="2"/>
        <v>3.2039999999999902E-2</v>
      </c>
      <c r="F37" s="13">
        <f t="shared" si="3"/>
        <v>6.279839999999981E-2</v>
      </c>
      <c r="G37" s="13">
        <f>(F37/20.47)*100%</f>
        <v>3.0678260869565128E-3</v>
      </c>
      <c r="H37" s="13"/>
      <c r="I37" s="6">
        <v>1.2</v>
      </c>
      <c r="J37" s="12">
        <f t="shared" si="5"/>
        <v>-0.22999999999999998</v>
      </c>
      <c r="K37" s="13">
        <f t="shared" si="6"/>
        <v>5.2899999999999989E-2</v>
      </c>
      <c r="L37" s="13">
        <f t="shared" si="7"/>
        <v>5.2312222222222211E-2</v>
      </c>
      <c r="M37" s="13">
        <f t="shared" si="8"/>
        <v>0.10253195555555553</v>
      </c>
      <c r="N37" s="13">
        <f t="shared" si="9"/>
        <v>7.1700668220668201E-2</v>
      </c>
      <c r="P37" s="12">
        <f t="shared" si="10"/>
        <v>24.347999999999999</v>
      </c>
      <c r="Q37" s="13">
        <f t="shared" si="11"/>
        <v>7.4768494307624708E-2</v>
      </c>
      <c r="R37" s="13">
        <f t="shared" si="12"/>
        <v>1.8204632994020464</v>
      </c>
    </row>
    <row r="38" spans="1:18" x14ac:dyDescent="0.25">
      <c r="A38" s="15">
        <v>37</v>
      </c>
      <c r="B38" s="6">
        <v>20.440000000000001</v>
      </c>
      <c r="C38" s="12">
        <f t="shared" si="0"/>
        <v>-2.9999999999997584E-2</v>
      </c>
      <c r="D38" s="13">
        <f t="shared" si="1"/>
        <v>8.9999999999985502E-4</v>
      </c>
      <c r="E38" s="13">
        <f t="shared" si="2"/>
        <v>8.8999999999985673E-4</v>
      </c>
      <c r="F38" s="13">
        <f t="shared" si="3"/>
        <v>1.7443999999997191E-3</v>
      </c>
      <c r="G38" s="13">
        <f t="shared" si="4"/>
        <v>8.5217391304334103E-5</v>
      </c>
      <c r="H38" s="13"/>
      <c r="I38" s="6">
        <v>1.63</v>
      </c>
      <c r="J38" s="12">
        <f t="shared" si="5"/>
        <v>0.19999999999999996</v>
      </c>
      <c r="K38" s="13">
        <f t="shared" si="6"/>
        <v>3.999999999999998E-2</v>
      </c>
      <c r="L38" s="13">
        <f t="shared" si="7"/>
        <v>3.9555555555555538E-2</v>
      </c>
      <c r="M38" s="13">
        <f>L38*1.96</f>
        <v>7.7528888888888856E-2</v>
      </c>
      <c r="N38" s="13">
        <f>(M38/1.43)*100%</f>
        <v>5.4216006216006196E-2</v>
      </c>
      <c r="P38" s="12">
        <f t="shared" si="10"/>
        <v>33.3172</v>
      </c>
      <c r="Q38" s="13">
        <f t="shared" si="11"/>
        <v>5.4301223607310531E-2</v>
      </c>
      <c r="R38" s="13">
        <f t="shared" si="12"/>
        <v>1.8091647271694864</v>
      </c>
    </row>
    <row r="39" spans="1:18" x14ac:dyDescent="0.25">
      <c r="A39" s="14">
        <v>38</v>
      </c>
      <c r="B39" s="6">
        <v>20.45</v>
      </c>
      <c r="C39" s="12">
        <f t="shared" si="0"/>
        <v>-1.9999999999999574E-2</v>
      </c>
      <c r="D39" s="13">
        <f t="shared" si="1"/>
        <v>3.9999999999998294E-4</v>
      </c>
      <c r="E39" s="13">
        <f t="shared" si="2"/>
        <v>3.9555555555553871E-4</v>
      </c>
      <c r="F39" s="13">
        <f t="shared" si="3"/>
        <v>7.7528888888885581E-4</v>
      </c>
      <c r="G39" s="13">
        <f t="shared" si="4"/>
        <v>3.7874396135264087E-5</v>
      </c>
      <c r="H39" s="13"/>
      <c r="I39" s="6">
        <v>1.45</v>
      </c>
      <c r="J39" s="12">
        <f t="shared" si="5"/>
        <v>2.0000000000000018E-2</v>
      </c>
      <c r="K39" s="13">
        <f t="shared" si="6"/>
        <v>4.0000000000000072E-4</v>
      </c>
      <c r="L39" s="13">
        <f t="shared" si="7"/>
        <v>3.9555555555555627E-4</v>
      </c>
      <c r="M39" s="13">
        <f t="shared" si="8"/>
        <v>7.7528888888889029E-4</v>
      </c>
      <c r="N39" s="13">
        <f t="shared" si="9"/>
        <v>5.421600621600632E-4</v>
      </c>
      <c r="P39" s="12">
        <f t="shared" si="10"/>
        <v>29.652499999999996</v>
      </c>
      <c r="Q39" s="13">
        <f t="shared" si="11"/>
        <v>5.8003445829532725E-4</v>
      </c>
      <c r="R39" s="13">
        <f t="shared" si="12"/>
        <v>1.7199471774602189E-2</v>
      </c>
    </row>
    <row r="40" spans="1:18" x14ac:dyDescent="0.25">
      <c r="A40" s="15">
        <v>39</v>
      </c>
      <c r="B40" s="6">
        <v>20.14</v>
      </c>
      <c r="C40" s="12">
        <f t="shared" si="0"/>
        <v>-0.32999999999999829</v>
      </c>
      <c r="D40" s="13">
        <f t="shared" si="1"/>
        <v>0.10889999999999887</v>
      </c>
      <c r="E40" s="13">
        <f t="shared" si="2"/>
        <v>0.1076899999999989</v>
      </c>
      <c r="F40" s="13">
        <f t="shared" si="3"/>
        <v>0.21107239999999783</v>
      </c>
      <c r="G40" s="13">
        <f t="shared" si="4"/>
        <v>1.0311304347825982E-2</v>
      </c>
      <c r="H40" s="13"/>
      <c r="I40" s="6">
        <v>1.39</v>
      </c>
      <c r="J40" s="12">
        <f t="shared" si="5"/>
        <v>-4.0000000000000036E-2</v>
      </c>
      <c r="K40" s="13">
        <f t="shared" si="6"/>
        <v>1.6000000000000029E-3</v>
      </c>
      <c r="L40" s="13">
        <f t="shared" si="7"/>
        <v>1.5822222222222251E-3</v>
      </c>
      <c r="M40" s="13">
        <f t="shared" si="8"/>
        <v>3.1011555555555612E-3</v>
      </c>
      <c r="N40" s="13">
        <f t="shared" si="9"/>
        <v>2.1686402486402528E-3</v>
      </c>
      <c r="P40" s="12">
        <f t="shared" ref="P3:P66" si="13">B40*I40</f>
        <v>27.994599999999998</v>
      </c>
      <c r="Q40" s="13">
        <f t="shared" si="11"/>
        <v>1.2479944596466234E-2</v>
      </c>
      <c r="R40" s="13">
        <f t="shared" si="12"/>
        <v>0.34937105700023363</v>
      </c>
    </row>
    <row r="41" spans="1:18" x14ac:dyDescent="0.25">
      <c r="A41" s="15">
        <v>40</v>
      </c>
      <c r="B41" s="6">
        <v>20.059999999999999</v>
      </c>
      <c r="C41" s="12">
        <f t="shared" si="0"/>
        <v>-0.41000000000000014</v>
      </c>
      <c r="D41" s="13">
        <f t="shared" si="1"/>
        <v>0.16810000000000011</v>
      </c>
      <c r="E41" s="13">
        <f t="shared" si="2"/>
        <v>0.16623222222222234</v>
      </c>
      <c r="F41" s="13">
        <f t="shared" si="3"/>
        <v>0.32581515555555579</v>
      </c>
      <c r="G41" s="13">
        <f t="shared" si="4"/>
        <v>1.5916714975845424E-2</v>
      </c>
      <c r="H41" s="13"/>
      <c r="I41" s="6">
        <v>1.41</v>
      </c>
      <c r="J41" s="12">
        <f t="shared" si="5"/>
        <v>-2.0000000000000018E-2</v>
      </c>
      <c r="K41" s="13">
        <f t="shared" si="6"/>
        <v>4.0000000000000072E-4</v>
      </c>
      <c r="L41" s="13">
        <f t="shared" si="7"/>
        <v>3.9555555555555627E-4</v>
      </c>
      <c r="M41" s="13">
        <f t="shared" si="8"/>
        <v>7.7528888888889029E-4</v>
      </c>
      <c r="N41" s="13">
        <f t="shared" si="9"/>
        <v>5.421600621600632E-4</v>
      </c>
      <c r="P41" s="12">
        <f t="shared" si="13"/>
        <v>28.284599999999998</v>
      </c>
      <c r="Q41" s="13">
        <f t="shared" si="11"/>
        <v>1.6458875038005485E-2</v>
      </c>
      <c r="R41" s="13">
        <f t="shared" si="12"/>
        <v>0.4655326968999699</v>
      </c>
    </row>
    <row r="42" spans="1:18" x14ac:dyDescent="0.25">
      <c r="A42" s="15">
        <v>41</v>
      </c>
      <c r="B42" s="6">
        <v>20.36</v>
      </c>
      <c r="C42" s="12">
        <f t="shared" si="0"/>
        <v>-0.10999999999999943</v>
      </c>
      <c r="D42" s="13">
        <f t="shared" si="1"/>
        <v>1.2099999999999875E-2</v>
      </c>
      <c r="E42" s="13">
        <f t="shared" si="2"/>
        <v>1.1965555555555433E-2</v>
      </c>
      <c r="F42" s="13">
        <f t="shared" si="3"/>
        <v>2.3452488888888647E-2</v>
      </c>
      <c r="G42" s="13">
        <f t="shared" si="4"/>
        <v>1.1457004830917757E-3</v>
      </c>
      <c r="H42" s="13"/>
      <c r="I42" s="6">
        <v>1.4</v>
      </c>
      <c r="J42" s="12">
        <f t="shared" si="5"/>
        <v>-3.0000000000000027E-2</v>
      </c>
      <c r="K42" s="13">
        <f t="shared" si="6"/>
        <v>9.000000000000016E-4</v>
      </c>
      <c r="L42" s="13">
        <f t="shared" si="7"/>
        <v>8.9000000000000158E-4</v>
      </c>
      <c r="M42" s="13">
        <f t="shared" si="8"/>
        <v>1.7444000000000032E-3</v>
      </c>
      <c r="N42" s="13">
        <f t="shared" si="9"/>
        <v>1.219860139860142E-3</v>
      </c>
      <c r="P42" s="12">
        <f t="shared" si="13"/>
        <v>28.503999999999998</v>
      </c>
      <c r="Q42" s="13">
        <f t="shared" si="11"/>
        <v>2.3655606229519175E-3</v>
      </c>
      <c r="R42" s="13">
        <f t="shared" si="12"/>
        <v>6.7427939996621458E-2</v>
      </c>
    </row>
    <row r="43" spans="1:18" x14ac:dyDescent="0.25">
      <c r="A43" s="15">
        <v>42</v>
      </c>
      <c r="B43" s="6">
        <v>20.51</v>
      </c>
      <c r="C43" s="12">
        <f>B43-20.47</f>
        <v>4.00000000000027E-2</v>
      </c>
      <c r="D43" s="13">
        <f t="shared" si="1"/>
        <v>1.600000000000216E-3</v>
      </c>
      <c r="E43" s="13">
        <f t="shared" si="2"/>
        <v>1.5822222222224359E-3</v>
      </c>
      <c r="F43" s="13">
        <f t="shared" si="3"/>
        <v>3.101155555555974E-3</v>
      </c>
      <c r="G43" s="13">
        <f t="shared" si="4"/>
        <v>1.5149758454108327E-4</v>
      </c>
      <c r="H43" s="13"/>
      <c r="I43" s="6">
        <v>1.57</v>
      </c>
      <c r="J43" s="12">
        <f t="shared" si="5"/>
        <v>0.14000000000000012</v>
      </c>
      <c r="K43" s="13">
        <f t="shared" si="6"/>
        <v>1.9600000000000034E-2</v>
      </c>
      <c r="L43" s="13">
        <f t="shared" si="7"/>
        <v>1.9382222222222256E-2</v>
      </c>
      <c r="M43" s="13">
        <f t="shared" si="8"/>
        <v>3.7989155555555619E-2</v>
      </c>
      <c r="N43" s="13">
        <f t="shared" si="9"/>
        <v>2.6565843045843092E-2</v>
      </c>
      <c r="P43" s="12">
        <f t="shared" si="13"/>
        <v>32.200700000000005</v>
      </c>
      <c r="Q43" s="13">
        <f t="shared" si="11"/>
        <v>2.6717340630384175E-2</v>
      </c>
      <c r="R43" s="13">
        <f t="shared" si="12"/>
        <v>0.86031707043681183</v>
      </c>
    </row>
    <row r="44" spans="1:18" x14ac:dyDescent="0.25">
      <c r="A44" s="14">
        <v>43</v>
      </c>
      <c r="B44" s="6">
        <v>20.43</v>
      </c>
      <c r="C44" s="12">
        <f t="shared" si="0"/>
        <v>-3.9999999999999147E-2</v>
      </c>
      <c r="D44" s="13">
        <f t="shared" si="1"/>
        <v>1.5999999999999318E-3</v>
      </c>
      <c r="E44" s="13">
        <f t="shared" si="2"/>
        <v>1.5822222222221548E-3</v>
      </c>
      <c r="F44" s="13">
        <f>E44*1.96</f>
        <v>3.1011555555554233E-3</v>
      </c>
      <c r="G44" s="13">
        <f t="shared" si="4"/>
        <v>1.5149758454105635E-4</v>
      </c>
      <c r="H44" s="13"/>
      <c r="I44" s="6">
        <v>1.6</v>
      </c>
      <c r="J44" s="12">
        <f>I44-1.43</f>
        <v>0.17000000000000015</v>
      </c>
      <c r="K44" s="13">
        <f t="shared" si="6"/>
        <v>2.8900000000000051E-2</v>
      </c>
      <c r="L44" s="13">
        <f>K44/90*(90-1)</f>
        <v>2.8578888888888942E-2</v>
      </c>
      <c r="M44" s="13">
        <f t="shared" si="8"/>
        <v>5.6014622222222324E-2</v>
      </c>
      <c r="N44" s="13">
        <f t="shared" si="9"/>
        <v>3.9171064491064563E-2</v>
      </c>
      <c r="P44" s="12">
        <f t="shared" si="13"/>
        <v>32.688000000000002</v>
      </c>
      <c r="Q44" s="13">
        <f t="shared" si="11"/>
        <v>3.9322562075605617E-2</v>
      </c>
      <c r="R44" s="13">
        <f t="shared" si="12"/>
        <v>1.2853759091273964</v>
      </c>
    </row>
    <row r="45" spans="1:18" x14ac:dyDescent="0.25">
      <c r="A45" s="15">
        <v>44</v>
      </c>
      <c r="B45" s="6">
        <v>20.53</v>
      </c>
      <c r="C45" s="12">
        <f t="shared" si="0"/>
        <v>6.0000000000002274E-2</v>
      </c>
      <c r="D45" s="13">
        <f t="shared" si="1"/>
        <v>3.6000000000002727E-3</v>
      </c>
      <c r="E45" s="13">
        <f t="shared" si="2"/>
        <v>3.56000000000027E-3</v>
      </c>
      <c r="F45" s="13">
        <f t="shared" si="3"/>
        <v>6.9776000000005287E-3</v>
      </c>
      <c r="G45" s="13">
        <f t="shared" si="4"/>
        <v>3.4086956521741713E-4</v>
      </c>
      <c r="H45" s="13"/>
      <c r="I45" s="6">
        <v>1.3</v>
      </c>
      <c r="J45" s="12">
        <f>I45-1.43</f>
        <v>-0.12999999999999989</v>
      </c>
      <c r="K45" s="13">
        <f t="shared" si="6"/>
        <v>1.6899999999999971E-2</v>
      </c>
      <c r="L45" s="13">
        <f t="shared" si="7"/>
        <v>1.6712222222222194E-2</v>
      </c>
      <c r="M45" s="13">
        <f t="shared" si="8"/>
        <v>3.2755955555555501E-2</v>
      </c>
      <c r="N45" s="13">
        <f t="shared" si="9"/>
        <v>2.2906262626262591E-2</v>
      </c>
      <c r="P45" s="12">
        <f t="shared" si="13"/>
        <v>26.689000000000004</v>
      </c>
      <c r="Q45" s="13">
        <f t="shared" si="11"/>
        <v>2.3247132191480009E-2</v>
      </c>
      <c r="R45" s="13">
        <f t="shared" si="12"/>
        <v>0.62044271105841009</v>
      </c>
    </row>
    <row r="46" spans="1:18" x14ac:dyDescent="0.25">
      <c r="A46" s="15">
        <v>45</v>
      </c>
      <c r="B46" s="6">
        <v>20.45</v>
      </c>
      <c r="C46" s="12">
        <f t="shared" si="0"/>
        <v>-1.9999999999999574E-2</v>
      </c>
      <c r="D46" s="13">
        <f t="shared" si="1"/>
        <v>3.9999999999998294E-4</v>
      </c>
      <c r="E46" s="13">
        <f>D46/90*(90-1)</f>
        <v>3.9555555555553871E-4</v>
      </c>
      <c r="F46" s="13">
        <f t="shared" si="3"/>
        <v>7.7528888888885581E-4</v>
      </c>
      <c r="G46" s="13">
        <f t="shared" si="4"/>
        <v>3.7874396135264087E-5</v>
      </c>
      <c r="H46" s="13"/>
      <c r="I46" s="6">
        <v>1.32</v>
      </c>
      <c r="J46" s="12">
        <f t="shared" ref="J46:J55" si="14">I46-1.43</f>
        <v>-0.10999999999999988</v>
      </c>
      <c r="K46" s="13">
        <f t="shared" si="6"/>
        <v>1.2099999999999972E-2</v>
      </c>
      <c r="L46" s="13">
        <f t="shared" si="7"/>
        <v>1.1965555555555528E-2</v>
      </c>
      <c r="M46" s="13">
        <f t="shared" si="8"/>
        <v>2.3452488888888835E-2</v>
      </c>
      <c r="N46" s="13">
        <f t="shared" si="9"/>
        <v>1.6400341880341843E-2</v>
      </c>
      <c r="P46" s="12">
        <f t="shared" si="13"/>
        <v>26.994</v>
      </c>
      <c r="Q46" s="13">
        <f t="shared" si="11"/>
        <v>1.6438216276477107E-2</v>
      </c>
      <c r="R46" s="13">
        <f t="shared" si="12"/>
        <v>0.443733210167223</v>
      </c>
    </row>
    <row r="47" spans="1:18" x14ac:dyDescent="0.25">
      <c r="A47" s="15">
        <v>46</v>
      </c>
      <c r="B47" s="6">
        <v>20.68</v>
      </c>
      <c r="C47" s="12">
        <f t="shared" si="0"/>
        <v>0.21000000000000085</v>
      </c>
      <c r="D47" s="13">
        <f t="shared" si="1"/>
        <v>4.4100000000000361E-2</v>
      </c>
      <c r="E47" s="13">
        <f t="shared" si="2"/>
        <v>4.3610000000000357E-2</v>
      </c>
      <c r="F47" s="13">
        <f t="shared" si="3"/>
        <v>8.5475600000000693E-2</v>
      </c>
      <c r="G47" s="13">
        <f t="shared" si="4"/>
        <v>4.1756521739130777E-3</v>
      </c>
      <c r="H47" s="13"/>
      <c r="I47" s="6">
        <v>1.64</v>
      </c>
      <c r="J47" s="12">
        <f t="shared" si="14"/>
        <v>0.20999999999999996</v>
      </c>
      <c r="K47" s="13">
        <f t="shared" si="6"/>
        <v>4.4099999999999986E-2</v>
      </c>
      <c r="L47" s="13">
        <f t="shared" si="7"/>
        <v>4.3609999999999989E-2</v>
      </c>
      <c r="M47" s="13">
        <f t="shared" si="8"/>
        <v>8.5475599999999971E-2</v>
      </c>
      <c r="N47" s="13">
        <f t="shared" si="9"/>
        <v>5.9773146853146837E-2</v>
      </c>
      <c r="P47" s="12">
        <f t="shared" si="13"/>
        <v>33.915199999999999</v>
      </c>
      <c r="Q47" s="13">
        <f t="shared" si="11"/>
        <v>6.394879902705991E-2</v>
      </c>
      <c r="R47" s="13">
        <f t="shared" si="12"/>
        <v>2.1688363087625424</v>
      </c>
    </row>
    <row r="48" spans="1:18" x14ac:dyDescent="0.25">
      <c r="A48" s="15">
        <v>47</v>
      </c>
      <c r="B48" s="6">
        <v>20.309999999999999</v>
      </c>
      <c r="C48" s="12">
        <f t="shared" si="0"/>
        <v>-0.16000000000000014</v>
      </c>
      <c r="D48" s="13">
        <f t="shared" si="1"/>
        <v>2.5600000000000046E-2</v>
      </c>
      <c r="E48" s="13">
        <f t="shared" si="2"/>
        <v>2.5315555555555602E-2</v>
      </c>
      <c r="F48" s="13">
        <f t="shared" si="3"/>
        <v>4.9618488888888979E-2</v>
      </c>
      <c r="G48" s="13">
        <f t="shared" si="4"/>
        <v>2.4239613526570091E-3</v>
      </c>
      <c r="H48" s="13"/>
      <c r="I48" s="6">
        <v>1.42</v>
      </c>
      <c r="J48" s="12">
        <f t="shared" si="14"/>
        <v>-1.0000000000000009E-2</v>
      </c>
      <c r="K48" s="13">
        <f t="shared" si="6"/>
        <v>1.0000000000000018E-4</v>
      </c>
      <c r="L48" s="13">
        <f t="shared" si="7"/>
        <v>9.8888888888889068E-5</v>
      </c>
      <c r="M48" s="13">
        <f t="shared" si="8"/>
        <v>1.9382222222222257E-4</v>
      </c>
      <c r="N48" s="13">
        <f t="shared" si="9"/>
        <v>1.355400155400158E-4</v>
      </c>
      <c r="P48" s="12">
        <f t="shared" si="13"/>
        <v>28.840199999999996</v>
      </c>
      <c r="Q48" s="13">
        <f t="shared" si="11"/>
        <v>2.559501368197025E-3</v>
      </c>
      <c r="R48" s="13">
        <f t="shared" si="12"/>
        <v>7.3816531359075829E-2</v>
      </c>
    </row>
    <row r="49" spans="1:18" x14ac:dyDescent="0.25">
      <c r="A49" s="14">
        <v>48</v>
      </c>
      <c r="B49" s="6">
        <v>20.350000000000001</v>
      </c>
      <c r="C49" s="12">
        <f t="shared" si="0"/>
        <v>-0.11999999999999744</v>
      </c>
      <c r="D49" s="13">
        <f t="shared" si="1"/>
        <v>1.4399999999999386E-2</v>
      </c>
      <c r="E49" s="13">
        <f t="shared" si="2"/>
        <v>1.4239999999999394E-2</v>
      </c>
      <c r="F49" s="13">
        <f t="shared" si="3"/>
        <v>2.7910399999998812E-2</v>
      </c>
      <c r="G49" s="13">
        <f t="shared" si="4"/>
        <v>1.3634782608695072E-3</v>
      </c>
      <c r="H49" s="13"/>
      <c r="I49" s="6">
        <v>1.81</v>
      </c>
      <c r="J49" s="12">
        <f t="shared" si="14"/>
        <v>0.38000000000000012</v>
      </c>
      <c r="K49" s="13">
        <f t="shared" si="6"/>
        <v>0.14440000000000008</v>
      </c>
      <c r="L49" s="13">
        <f t="shared" si="7"/>
        <v>0.14279555555555565</v>
      </c>
      <c r="M49" s="13">
        <f t="shared" si="8"/>
        <v>0.27987928888888908</v>
      </c>
      <c r="N49" s="13">
        <f t="shared" si="9"/>
        <v>0.19571978243978258</v>
      </c>
      <c r="P49" s="12">
        <f t="shared" si="13"/>
        <v>36.833500000000001</v>
      </c>
      <c r="Q49" s="13">
        <f t="shared" si="11"/>
        <v>0.19708326070065207</v>
      </c>
      <c r="R49" s="13">
        <f t="shared" si="12"/>
        <v>7.2592662830174683</v>
      </c>
    </row>
    <row r="50" spans="1:18" x14ac:dyDescent="0.25">
      <c r="A50" s="15">
        <v>49</v>
      </c>
      <c r="B50" s="6">
        <v>20.5</v>
      </c>
      <c r="C50" s="12">
        <f t="shared" si="0"/>
        <v>3.0000000000001137E-2</v>
      </c>
      <c r="D50" s="13">
        <f t="shared" si="1"/>
        <v>9.0000000000006817E-4</v>
      </c>
      <c r="E50" s="13">
        <f t="shared" si="2"/>
        <v>8.9000000000006749E-4</v>
      </c>
      <c r="F50" s="13">
        <f t="shared" si="3"/>
        <v>1.7444000000001322E-3</v>
      </c>
      <c r="G50" s="13">
        <f t="shared" si="4"/>
        <v>8.5217391304354283E-5</v>
      </c>
      <c r="H50" s="13"/>
      <c r="I50" s="6">
        <v>1.4</v>
      </c>
      <c r="J50" s="12">
        <f t="shared" si="14"/>
        <v>-3.0000000000000027E-2</v>
      </c>
      <c r="K50" s="13">
        <f t="shared" si="6"/>
        <v>9.000000000000016E-4</v>
      </c>
      <c r="L50" s="13">
        <f t="shared" si="7"/>
        <v>8.9000000000000158E-4</v>
      </c>
      <c r="M50" s="13">
        <f t="shared" si="8"/>
        <v>1.7444000000000032E-3</v>
      </c>
      <c r="N50" s="13">
        <f t="shared" si="9"/>
        <v>1.219860139860142E-3</v>
      </c>
      <c r="P50" s="12">
        <f t="shared" si="13"/>
        <v>28.7</v>
      </c>
      <c r="Q50" s="13">
        <f t="shared" si="11"/>
        <v>1.3050775311644963E-3</v>
      </c>
      <c r="R50" s="13">
        <f t="shared" si="12"/>
        <v>3.745572514442104E-2</v>
      </c>
    </row>
    <row r="51" spans="1:18" x14ac:dyDescent="0.25">
      <c r="A51" s="15">
        <v>50</v>
      </c>
      <c r="B51" s="6">
        <v>20.65</v>
      </c>
      <c r="C51" s="12">
        <f t="shared" si="0"/>
        <v>0.17999999999999972</v>
      </c>
      <c r="D51" s="13">
        <f t="shared" si="1"/>
        <v>3.2399999999999901E-2</v>
      </c>
      <c r="E51" s="13">
        <f t="shared" si="2"/>
        <v>3.2039999999999902E-2</v>
      </c>
      <c r="F51" s="13">
        <f t="shared" si="3"/>
        <v>6.279839999999981E-2</v>
      </c>
      <c r="G51" s="13">
        <f>(F51/20.47)*100%</f>
        <v>3.0678260869565128E-3</v>
      </c>
      <c r="H51" s="13"/>
      <c r="I51" s="6">
        <v>1.35</v>
      </c>
      <c r="J51" s="12">
        <f t="shared" si="14"/>
        <v>-7.9999999999999849E-2</v>
      </c>
      <c r="K51" s="13">
        <f t="shared" si="6"/>
        <v>6.399999999999976E-3</v>
      </c>
      <c r="L51" s="13">
        <f t="shared" si="7"/>
        <v>6.3288888888888657E-3</v>
      </c>
      <c r="M51" s="13">
        <f>L51*1.96</f>
        <v>1.2404622222222177E-2</v>
      </c>
      <c r="N51" s="13">
        <f t="shared" si="9"/>
        <v>8.6745609945609627E-3</v>
      </c>
      <c r="P51" s="12">
        <f t="shared" si="13"/>
        <v>27.877500000000001</v>
      </c>
      <c r="Q51" s="13">
        <f t="shared" si="11"/>
        <v>1.1742387081517475E-2</v>
      </c>
      <c r="R51" s="13">
        <f t="shared" si="12"/>
        <v>0.32734839586500342</v>
      </c>
    </row>
    <row r="52" spans="1:18" x14ac:dyDescent="0.25">
      <c r="A52" s="15">
        <v>51</v>
      </c>
      <c r="B52" s="6">
        <v>20.6</v>
      </c>
      <c r="C52" s="12">
        <f t="shared" si="0"/>
        <v>0.13000000000000256</v>
      </c>
      <c r="D52" s="13">
        <f t="shared" si="1"/>
        <v>1.6900000000000664E-2</v>
      </c>
      <c r="E52" s="13">
        <f t="shared" si="2"/>
        <v>1.6712222222222878E-2</v>
      </c>
      <c r="F52" s="13">
        <f t="shared" si="3"/>
        <v>3.275595555555684E-2</v>
      </c>
      <c r="G52" s="13">
        <f t="shared" si="4"/>
        <v>1.6001932367150386E-3</v>
      </c>
      <c r="H52" s="13"/>
      <c r="I52" s="6">
        <v>1.4</v>
      </c>
      <c r="J52" s="12">
        <f t="shared" si="14"/>
        <v>-3.0000000000000027E-2</v>
      </c>
      <c r="K52" s="13">
        <f t="shared" si="6"/>
        <v>9.000000000000016E-4</v>
      </c>
      <c r="L52" s="13">
        <f t="shared" si="7"/>
        <v>8.9000000000000158E-4</v>
      </c>
      <c r="M52" s="13">
        <f t="shared" si="8"/>
        <v>1.7444000000000032E-3</v>
      </c>
      <c r="N52" s="13">
        <f t="shared" si="9"/>
        <v>1.219860139860142E-3</v>
      </c>
      <c r="P52" s="12">
        <f t="shared" si="13"/>
        <v>28.84</v>
      </c>
      <c r="Q52" s="13">
        <f t="shared" si="11"/>
        <v>2.8200533765751806E-3</v>
      </c>
      <c r="R52" s="13">
        <f t="shared" si="12"/>
        <v>8.1330339380428204E-2</v>
      </c>
    </row>
    <row r="53" spans="1:18" x14ac:dyDescent="0.25">
      <c r="A53" s="15">
        <v>52</v>
      </c>
      <c r="B53" s="6">
        <v>20.5</v>
      </c>
      <c r="C53" s="12">
        <f t="shared" si="0"/>
        <v>3.0000000000001137E-2</v>
      </c>
      <c r="D53" s="13">
        <f t="shared" si="1"/>
        <v>9.0000000000006817E-4</v>
      </c>
      <c r="E53" s="13">
        <f t="shared" si="2"/>
        <v>8.9000000000006749E-4</v>
      </c>
      <c r="F53" s="13">
        <f t="shared" si="3"/>
        <v>1.7444000000001322E-3</v>
      </c>
      <c r="G53" s="13">
        <f t="shared" si="4"/>
        <v>8.5217391304354283E-5</v>
      </c>
      <c r="H53" s="13"/>
      <c r="I53" s="6">
        <v>1.45</v>
      </c>
      <c r="J53" s="12">
        <f t="shared" si="14"/>
        <v>2.0000000000000018E-2</v>
      </c>
      <c r="K53" s="13">
        <f t="shared" si="6"/>
        <v>4.0000000000000072E-4</v>
      </c>
      <c r="L53" s="13">
        <f t="shared" si="7"/>
        <v>3.9555555555555627E-4</v>
      </c>
      <c r="M53" s="13">
        <f t="shared" si="8"/>
        <v>7.7528888888889029E-4</v>
      </c>
      <c r="N53" s="13">
        <f>(M53/1.43)*100%</f>
        <v>5.421600621600632E-4</v>
      </c>
      <c r="P53" s="12">
        <f t="shared" si="13"/>
        <v>29.724999999999998</v>
      </c>
      <c r="Q53" s="13">
        <f t="shared" si="11"/>
        <v>6.2737745346441753E-4</v>
      </c>
      <c r="R53" s="13">
        <f t="shared" si="12"/>
        <v>1.8648794804229811E-2</v>
      </c>
    </row>
    <row r="54" spans="1:18" x14ac:dyDescent="0.25">
      <c r="A54" s="14">
        <v>53</v>
      </c>
      <c r="B54" s="6">
        <v>20.65</v>
      </c>
      <c r="C54" s="12">
        <f t="shared" si="0"/>
        <v>0.17999999999999972</v>
      </c>
      <c r="D54" s="13">
        <f t="shared" si="1"/>
        <v>3.2399999999999901E-2</v>
      </c>
      <c r="E54" s="13">
        <f t="shared" si="2"/>
        <v>3.2039999999999902E-2</v>
      </c>
      <c r="F54" s="13">
        <f t="shared" si="3"/>
        <v>6.279839999999981E-2</v>
      </c>
      <c r="G54" s="13">
        <f t="shared" si="4"/>
        <v>3.0678260869565128E-3</v>
      </c>
      <c r="H54" s="13"/>
      <c r="I54" s="6">
        <v>1.45</v>
      </c>
      <c r="J54" s="12">
        <f t="shared" si="14"/>
        <v>2.0000000000000018E-2</v>
      </c>
      <c r="K54" s="13">
        <f t="shared" si="6"/>
        <v>4.0000000000000072E-4</v>
      </c>
      <c r="L54" s="13">
        <f t="shared" si="7"/>
        <v>3.9555555555555627E-4</v>
      </c>
      <c r="M54" s="13">
        <f t="shared" si="8"/>
        <v>7.7528888888889029E-4</v>
      </c>
      <c r="N54" s="13">
        <f t="shared" si="9"/>
        <v>5.421600621600632E-4</v>
      </c>
      <c r="P54" s="12">
        <f t="shared" si="13"/>
        <v>29.942499999999995</v>
      </c>
      <c r="Q54" s="13">
        <f t="shared" si="11"/>
        <v>3.6099861491165758E-3</v>
      </c>
      <c r="R54" s="13">
        <f t="shared" si="12"/>
        <v>0.10809201026992306</v>
      </c>
    </row>
    <row r="55" spans="1:18" x14ac:dyDescent="0.25">
      <c r="A55" s="15">
        <v>54</v>
      </c>
      <c r="B55" s="6">
        <v>20.5</v>
      </c>
      <c r="C55" s="12">
        <f t="shared" si="0"/>
        <v>3.0000000000001137E-2</v>
      </c>
      <c r="D55" s="13">
        <f t="shared" si="1"/>
        <v>9.0000000000006817E-4</v>
      </c>
      <c r="E55" s="13">
        <f t="shared" si="2"/>
        <v>8.9000000000006749E-4</v>
      </c>
      <c r="F55" s="13">
        <f t="shared" si="3"/>
        <v>1.7444000000001322E-3</v>
      </c>
      <c r="G55" s="13">
        <f t="shared" si="4"/>
        <v>8.5217391304354283E-5</v>
      </c>
      <c r="H55" s="13"/>
      <c r="I55" s="6">
        <v>1.4</v>
      </c>
      <c r="J55" s="12">
        <f t="shared" si="14"/>
        <v>-3.0000000000000027E-2</v>
      </c>
      <c r="K55" s="13">
        <f t="shared" si="6"/>
        <v>9.000000000000016E-4</v>
      </c>
      <c r="L55" s="13">
        <f t="shared" si="7"/>
        <v>8.9000000000000158E-4</v>
      </c>
      <c r="M55" s="13">
        <f t="shared" si="8"/>
        <v>1.7444000000000032E-3</v>
      </c>
      <c r="N55" s="13">
        <f t="shared" si="9"/>
        <v>1.219860139860142E-3</v>
      </c>
      <c r="P55" s="12">
        <f t="shared" si="13"/>
        <v>28.7</v>
      </c>
      <c r="Q55" s="13">
        <f t="shared" si="11"/>
        <v>1.3050775311644963E-3</v>
      </c>
      <c r="R55" s="13">
        <f t="shared" si="12"/>
        <v>3.745572514442104E-2</v>
      </c>
    </row>
    <row r="56" spans="1:18" x14ac:dyDescent="0.25">
      <c r="A56" s="15">
        <v>55</v>
      </c>
      <c r="B56" s="6">
        <v>20.350000000000001</v>
      </c>
      <c r="C56" s="12">
        <f t="shared" si="0"/>
        <v>-0.11999999999999744</v>
      </c>
      <c r="D56" s="13">
        <f t="shared" si="1"/>
        <v>1.4399999999999386E-2</v>
      </c>
      <c r="E56" s="13">
        <f t="shared" si="2"/>
        <v>1.4239999999999394E-2</v>
      </c>
      <c r="F56" s="13">
        <f t="shared" si="3"/>
        <v>2.7910399999998812E-2</v>
      </c>
      <c r="G56" s="13">
        <f t="shared" si="4"/>
        <v>1.3634782608695072E-3</v>
      </c>
      <c r="H56" s="13"/>
      <c r="I56" s="6">
        <v>1.4</v>
      </c>
      <c r="J56" s="12">
        <f>I56-1.43</f>
        <v>-3.0000000000000027E-2</v>
      </c>
      <c r="K56" s="13">
        <f t="shared" si="6"/>
        <v>9.000000000000016E-4</v>
      </c>
      <c r="L56" s="13">
        <f t="shared" si="7"/>
        <v>8.9000000000000158E-4</v>
      </c>
      <c r="M56" s="13">
        <f t="shared" si="8"/>
        <v>1.7444000000000032E-3</v>
      </c>
      <c r="N56" s="13">
        <f t="shared" si="9"/>
        <v>1.219860139860142E-3</v>
      </c>
      <c r="P56" s="12">
        <f t="shared" si="13"/>
        <v>28.49</v>
      </c>
      <c r="Q56" s="13">
        <f t="shared" si="11"/>
        <v>2.5833384007296492E-3</v>
      </c>
      <c r="R56" s="13">
        <f t="shared" si="12"/>
        <v>7.3599311036787698E-2</v>
      </c>
    </row>
    <row r="57" spans="1:18" x14ac:dyDescent="0.25">
      <c r="A57" s="15">
        <v>56</v>
      </c>
      <c r="B57" s="6">
        <v>20.45</v>
      </c>
      <c r="C57" s="12">
        <f>B57-20.47</f>
        <v>-1.9999999999999574E-2</v>
      </c>
      <c r="D57" s="13">
        <f t="shared" si="1"/>
        <v>3.9999999999998294E-4</v>
      </c>
      <c r="E57" s="13">
        <f t="shared" si="2"/>
        <v>3.9555555555553871E-4</v>
      </c>
      <c r="F57" s="13">
        <f>E57*1.96</f>
        <v>7.7528888888885581E-4</v>
      </c>
      <c r="G57" s="13">
        <f t="shared" si="4"/>
        <v>3.7874396135264087E-5</v>
      </c>
      <c r="H57" s="13"/>
      <c r="I57" s="6">
        <v>1.4</v>
      </c>
      <c r="J57" s="12">
        <f t="shared" ref="J57:J64" si="15">I57-1.43</f>
        <v>-3.0000000000000027E-2</v>
      </c>
      <c r="K57" s="13">
        <f t="shared" si="6"/>
        <v>9.000000000000016E-4</v>
      </c>
      <c r="L57" s="13">
        <f t="shared" si="7"/>
        <v>8.9000000000000158E-4</v>
      </c>
      <c r="M57" s="13">
        <f t="shared" si="8"/>
        <v>1.7444000000000032E-3</v>
      </c>
      <c r="N57" s="13">
        <f t="shared" si="9"/>
        <v>1.219860139860142E-3</v>
      </c>
      <c r="P57" s="12">
        <f t="shared" si="13"/>
        <v>28.629999999999995</v>
      </c>
      <c r="Q57" s="13">
        <f t="shared" si="11"/>
        <v>1.2577345359954062E-3</v>
      </c>
      <c r="R57" s="13">
        <f t="shared" si="12"/>
        <v>3.6008939765548476E-2</v>
      </c>
    </row>
    <row r="58" spans="1:18" x14ac:dyDescent="0.25">
      <c r="A58" s="15">
        <v>57</v>
      </c>
      <c r="B58" s="6">
        <v>20.45</v>
      </c>
      <c r="C58" s="12">
        <f t="shared" si="0"/>
        <v>-1.9999999999999574E-2</v>
      </c>
      <c r="D58" s="13">
        <f t="shared" si="1"/>
        <v>3.9999999999998294E-4</v>
      </c>
      <c r="E58" s="13">
        <f t="shared" si="2"/>
        <v>3.9555555555553871E-4</v>
      </c>
      <c r="F58" s="13">
        <f t="shared" si="3"/>
        <v>7.7528888888885581E-4</v>
      </c>
      <c r="G58" s="13">
        <f t="shared" si="4"/>
        <v>3.7874396135264087E-5</v>
      </c>
      <c r="H58" s="13"/>
      <c r="I58" s="6">
        <v>1.4</v>
      </c>
      <c r="J58" s="12">
        <f t="shared" si="15"/>
        <v>-3.0000000000000027E-2</v>
      </c>
      <c r="K58" s="13">
        <f t="shared" si="6"/>
        <v>9.000000000000016E-4</v>
      </c>
      <c r="L58" s="13">
        <f t="shared" si="7"/>
        <v>8.9000000000000158E-4</v>
      </c>
      <c r="M58" s="13">
        <f t="shared" si="8"/>
        <v>1.7444000000000032E-3</v>
      </c>
      <c r="N58" s="13">
        <f t="shared" si="9"/>
        <v>1.219860139860142E-3</v>
      </c>
      <c r="P58" s="12">
        <f t="shared" si="13"/>
        <v>28.629999999999995</v>
      </c>
      <c r="Q58" s="13">
        <f t="shared" si="11"/>
        <v>1.2577345359954062E-3</v>
      </c>
      <c r="R58" s="13">
        <f t="shared" si="12"/>
        <v>3.6008939765548476E-2</v>
      </c>
    </row>
    <row r="59" spans="1:18" x14ac:dyDescent="0.25">
      <c r="A59" s="14">
        <v>58</v>
      </c>
      <c r="B59" s="6">
        <v>20.3</v>
      </c>
      <c r="C59" s="12">
        <f t="shared" si="0"/>
        <v>-0.16999999999999815</v>
      </c>
      <c r="D59" s="13">
        <f t="shared" si="1"/>
        <v>2.8899999999999371E-2</v>
      </c>
      <c r="E59" s="13">
        <f t="shared" si="2"/>
        <v>2.8578888888888265E-2</v>
      </c>
      <c r="F59" s="13">
        <f t="shared" si="3"/>
        <v>5.6014622222220999E-2</v>
      </c>
      <c r="G59" s="13">
        <f t="shared" si="4"/>
        <v>2.7364251207728871E-3</v>
      </c>
      <c r="H59" s="13"/>
      <c r="I59" s="6">
        <v>1.45</v>
      </c>
      <c r="J59" s="12">
        <f t="shared" si="15"/>
        <v>2.0000000000000018E-2</v>
      </c>
      <c r="K59" s="13">
        <f t="shared" si="6"/>
        <v>4.0000000000000072E-4</v>
      </c>
      <c r="L59" s="13">
        <f t="shared" si="7"/>
        <v>3.9555555555555627E-4</v>
      </c>
      <c r="M59" s="13">
        <f t="shared" si="8"/>
        <v>7.7528888888889029E-4</v>
      </c>
      <c r="N59" s="13">
        <f t="shared" si="9"/>
        <v>5.421600621600632E-4</v>
      </c>
      <c r="P59" s="12">
        <f t="shared" si="13"/>
        <v>29.434999999999999</v>
      </c>
      <c r="Q59" s="13">
        <f t="shared" si="11"/>
        <v>3.2785851829329506E-3</v>
      </c>
      <c r="R59" s="13">
        <f t="shared" si="12"/>
        <v>9.650515485963139E-2</v>
      </c>
    </row>
    <row r="60" spans="1:18" x14ac:dyDescent="0.25">
      <c r="A60" s="14">
        <v>59</v>
      </c>
      <c r="B60" s="6">
        <v>20.5</v>
      </c>
      <c r="C60" s="12">
        <f t="shared" si="0"/>
        <v>3.0000000000001137E-2</v>
      </c>
      <c r="D60" s="13">
        <f t="shared" si="1"/>
        <v>9.0000000000006817E-4</v>
      </c>
      <c r="E60" s="13">
        <f>D60/90*(90-1)</f>
        <v>8.9000000000006749E-4</v>
      </c>
      <c r="F60" s="13">
        <f t="shared" si="3"/>
        <v>1.7444000000001322E-3</v>
      </c>
      <c r="G60" s="13">
        <f t="shared" si="4"/>
        <v>8.5217391304354283E-5</v>
      </c>
      <c r="H60" s="13"/>
      <c r="I60" s="6">
        <v>1.4</v>
      </c>
      <c r="J60" s="12">
        <f t="shared" si="15"/>
        <v>-3.0000000000000027E-2</v>
      </c>
      <c r="K60" s="13">
        <f t="shared" si="6"/>
        <v>9.000000000000016E-4</v>
      </c>
      <c r="L60" s="13">
        <f t="shared" si="7"/>
        <v>8.9000000000000158E-4</v>
      </c>
      <c r="M60" s="13">
        <f t="shared" si="8"/>
        <v>1.7444000000000032E-3</v>
      </c>
      <c r="N60" s="13">
        <f t="shared" si="9"/>
        <v>1.219860139860142E-3</v>
      </c>
      <c r="P60" s="12">
        <f t="shared" si="13"/>
        <v>28.7</v>
      </c>
      <c r="Q60" s="13">
        <f t="shared" si="11"/>
        <v>1.3050775311644963E-3</v>
      </c>
      <c r="R60" s="13">
        <f t="shared" si="12"/>
        <v>3.745572514442104E-2</v>
      </c>
    </row>
    <row r="61" spans="1:18" x14ac:dyDescent="0.25">
      <c r="A61" s="15">
        <v>60</v>
      </c>
      <c r="B61" s="6">
        <v>20.3</v>
      </c>
      <c r="C61" s="12">
        <f t="shared" si="0"/>
        <v>-0.16999999999999815</v>
      </c>
      <c r="D61" s="13">
        <f t="shared" si="1"/>
        <v>2.8899999999999371E-2</v>
      </c>
      <c r="E61" s="13">
        <f t="shared" si="2"/>
        <v>2.8578888888888265E-2</v>
      </c>
      <c r="F61" s="13">
        <f t="shared" si="3"/>
        <v>5.6014622222220999E-2</v>
      </c>
      <c r="G61" s="13">
        <f t="shared" si="4"/>
        <v>2.7364251207728871E-3</v>
      </c>
      <c r="H61" s="13"/>
      <c r="I61" s="6">
        <v>1.45</v>
      </c>
      <c r="J61" s="12">
        <f t="shared" si="15"/>
        <v>2.0000000000000018E-2</v>
      </c>
      <c r="K61" s="13">
        <f t="shared" si="6"/>
        <v>4.0000000000000072E-4</v>
      </c>
      <c r="L61" s="13">
        <f t="shared" si="7"/>
        <v>3.9555555555555627E-4</v>
      </c>
      <c r="M61" s="13">
        <f t="shared" si="8"/>
        <v>7.7528888888889029E-4</v>
      </c>
      <c r="N61" s="13">
        <f t="shared" si="9"/>
        <v>5.421600621600632E-4</v>
      </c>
      <c r="P61" s="12">
        <f t="shared" si="13"/>
        <v>29.434999999999999</v>
      </c>
      <c r="Q61" s="13">
        <f t="shared" si="11"/>
        <v>3.2785851829329506E-3</v>
      </c>
      <c r="R61" s="13">
        <f t="shared" si="12"/>
        <v>9.650515485963139E-2</v>
      </c>
    </row>
    <row r="62" spans="1:18" x14ac:dyDescent="0.25">
      <c r="A62" s="15">
        <v>61</v>
      </c>
      <c r="B62" s="6">
        <v>20.55</v>
      </c>
      <c r="C62" s="12">
        <f t="shared" si="0"/>
        <v>8.0000000000001847E-2</v>
      </c>
      <c r="D62" s="13">
        <f t="shared" si="1"/>
        <v>6.4000000000002952E-3</v>
      </c>
      <c r="E62" s="13">
        <f t="shared" si="2"/>
        <v>6.3288888888891805E-3</v>
      </c>
      <c r="F62" s="13">
        <f t="shared" si="3"/>
        <v>1.2404622222222793E-2</v>
      </c>
      <c r="G62" s="13">
        <f t="shared" si="4"/>
        <v>6.0599033816427907E-4</v>
      </c>
      <c r="H62" s="13"/>
      <c r="I62" s="6">
        <v>1.4</v>
      </c>
      <c r="J62" s="12">
        <f t="shared" si="15"/>
        <v>-3.0000000000000027E-2</v>
      </c>
      <c r="K62" s="13">
        <f t="shared" si="6"/>
        <v>9.000000000000016E-4</v>
      </c>
      <c r="L62" s="13">
        <f t="shared" si="7"/>
        <v>8.9000000000000158E-4</v>
      </c>
      <c r="M62" s="13">
        <f t="shared" si="8"/>
        <v>1.7444000000000032E-3</v>
      </c>
      <c r="N62" s="13">
        <f t="shared" si="9"/>
        <v>1.219860139860142E-3</v>
      </c>
      <c r="P62" s="12">
        <f t="shared" si="13"/>
        <v>28.77</v>
      </c>
      <c r="Q62" s="13">
        <f t="shared" si="11"/>
        <v>1.8258504780244212E-3</v>
      </c>
      <c r="R62" s="13">
        <f t="shared" si="12"/>
        <v>5.2529718252762599E-2</v>
      </c>
    </row>
    <row r="63" spans="1:18" x14ac:dyDescent="0.25">
      <c r="A63" s="15">
        <v>62</v>
      </c>
      <c r="B63" s="6">
        <v>20.3</v>
      </c>
      <c r="C63" s="12">
        <f t="shared" si="0"/>
        <v>-0.16999999999999815</v>
      </c>
      <c r="D63" s="13">
        <f t="shared" si="1"/>
        <v>2.8899999999999371E-2</v>
      </c>
      <c r="E63" s="13">
        <f t="shared" si="2"/>
        <v>2.8578888888888265E-2</v>
      </c>
      <c r="F63" s="13">
        <f t="shared" si="3"/>
        <v>5.6014622222220999E-2</v>
      </c>
      <c r="G63" s="13">
        <f t="shared" si="4"/>
        <v>2.7364251207728871E-3</v>
      </c>
      <c r="H63" s="13"/>
      <c r="I63" s="6">
        <v>1.4</v>
      </c>
      <c r="J63" s="12">
        <f t="shared" si="15"/>
        <v>-3.0000000000000027E-2</v>
      </c>
      <c r="K63" s="13">
        <f t="shared" si="6"/>
        <v>9.000000000000016E-4</v>
      </c>
      <c r="L63" s="13">
        <f t="shared" si="7"/>
        <v>8.9000000000000158E-4</v>
      </c>
      <c r="M63" s="13">
        <f t="shared" si="8"/>
        <v>1.7444000000000032E-3</v>
      </c>
      <c r="N63" s="13">
        <f t="shared" si="9"/>
        <v>1.219860139860142E-3</v>
      </c>
      <c r="P63" s="12">
        <f t="shared" si="13"/>
        <v>28.419999999999998</v>
      </c>
      <c r="Q63" s="13">
        <f t="shared" si="11"/>
        <v>3.9562852606330294E-3</v>
      </c>
      <c r="R63" s="13">
        <f t="shared" si="12"/>
        <v>0.11243762710719069</v>
      </c>
    </row>
    <row r="64" spans="1:18" x14ac:dyDescent="0.25">
      <c r="A64" s="15">
        <v>63</v>
      </c>
      <c r="B64" s="6">
        <v>20.75</v>
      </c>
      <c r="C64" s="12">
        <f t="shared" si="0"/>
        <v>0.28000000000000114</v>
      </c>
      <c r="D64" s="13">
        <f t="shared" si="1"/>
        <v>7.8400000000000636E-2</v>
      </c>
      <c r="E64" s="13">
        <f t="shared" si="2"/>
        <v>7.7528888888889522E-2</v>
      </c>
      <c r="F64" s="13">
        <f t="shared" si="3"/>
        <v>0.15195662222222345</v>
      </c>
      <c r="G64" s="13">
        <f t="shared" si="4"/>
        <v>7.4233816425121378E-3</v>
      </c>
      <c r="H64" s="13"/>
      <c r="I64" s="6">
        <v>1.4</v>
      </c>
      <c r="J64" s="12">
        <f t="shared" si="15"/>
        <v>-3.0000000000000027E-2</v>
      </c>
      <c r="K64" s="13">
        <f t="shared" si="6"/>
        <v>9.000000000000016E-4</v>
      </c>
      <c r="L64" s="13">
        <f t="shared" si="7"/>
        <v>8.9000000000000158E-4</v>
      </c>
      <c r="M64" s="13">
        <f t="shared" si="8"/>
        <v>1.7444000000000032E-3</v>
      </c>
      <c r="N64" s="13">
        <f t="shared" si="9"/>
        <v>1.219860139860142E-3</v>
      </c>
      <c r="P64" s="12">
        <f t="shared" si="13"/>
        <v>29.049999999999997</v>
      </c>
      <c r="Q64" s="13">
        <f t="shared" si="11"/>
        <v>8.6432417823722792E-3</v>
      </c>
      <c r="R64" s="13">
        <f t="shared" si="12"/>
        <v>0.2510861737779147</v>
      </c>
    </row>
    <row r="65" spans="1:18" x14ac:dyDescent="0.25">
      <c r="A65" s="14">
        <v>64</v>
      </c>
      <c r="B65" s="6">
        <v>20.65</v>
      </c>
      <c r="C65" s="12">
        <f t="shared" si="0"/>
        <v>0.17999999999999972</v>
      </c>
      <c r="D65" s="13">
        <f t="shared" si="1"/>
        <v>3.2399999999999901E-2</v>
      </c>
      <c r="E65" s="13">
        <f t="shared" si="2"/>
        <v>3.2039999999999902E-2</v>
      </c>
      <c r="F65" s="13">
        <f t="shared" si="3"/>
        <v>6.279839999999981E-2</v>
      </c>
      <c r="G65" s="13">
        <f t="shared" si="4"/>
        <v>3.0678260869565128E-3</v>
      </c>
      <c r="H65" s="13"/>
      <c r="I65" s="6">
        <v>1.4</v>
      </c>
      <c r="J65" s="12">
        <f>I65-1.43</f>
        <v>-3.0000000000000027E-2</v>
      </c>
      <c r="K65" s="13">
        <f t="shared" si="6"/>
        <v>9.000000000000016E-4</v>
      </c>
      <c r="L65" s="13">
        <f t="shared" si="7"/>
        <v>8.9000000000000158E-4</v>
      </c>
      <c r="M65" s="13">
        <f t="shared" si="8"/>
        <v>1.7444000000000032E-3</v>
      </c>
      <c r="N65" s="13">
        <f t="shared" si="9"/>
        <v>1.219860139860142E-3</v>
      </c>
      <c r="P65" s="12">
        <f t="shared" si="13"/>
        <v>28.909999999999997</v>
      </c>
      <c r="Q65" s="13">
        <f t="shared" si="11"/>
        <v>4.2876862268166546E-3</v>
      </c>
      <c r="R65" s="13">
        <f t="shared" si="12"/>
        <v>0.12395700881726947</v>
      </c>
    </row>
    <row r="66" spans="1:18" x14ac:dyDescent="0.25">
      <c r="A66" s="15">
        <v>65</v>
      </c>
      <c r="B66" s="6">
        <v>20.8</v>
      </c>
      <c r="C66" s="12">
        <f t="shared" si="0"/>
        <v>0.33000000000000185</v>
      </c>
      <c r="D66" s="13">
        <f t="shared" si="1"/>
        <v>0.10890000000000122</v>
      </c>
      <c r="E66" s="13">
        <f t="shared" si="2"/>
        <v>0.10769000000000122</v>
      </c>
      <c r="F66" s="13">
        <f t="shared" si="3"/>
        <v>0.21107240000000238</v>
      </c>
      <c r="G66" s="13">
        <f t="shared" si="4"/>
        <v>1.0311304347826204E-2</v>
      </c>
      <c r="H66" s="13"/>
      <c r="I66" s="6">
        <v>1.35</v>
      </c>
      <c r="J66" s="12">
        <f t="shared" ref="J66:J74" si="16">I66-1.43</f>
        <v>-7.9999999999999849E-2</v>
      </c>
      <c r="K66" s="13">
        <f t="shared" si="6"/>
        <v>6.399999999999976E-3</v>
      </c>
      <c r="L66" s="13">
        <f t="shared" si="7"/>
        <v>6.3288888888888657E-3</v>
      </c>
      <c r="M66" s="13">
        <f>L66*1.96</f>
        <v>1.2404622222222177E-2</v>
      </c>
      <c r="N66" s="13">
        <f t="shared" si="9"/>
        <v>8.6745609945609627E-3</v>
      </c>
      <c r="P66" s="12">
        <f t="shared" si="13"/>
        <v>28.080000000000002</v>
      </c>
      <c r="Q66" s="13">
        <f t="shared" si="11"/>
        <v>1.8985865342387165E-2</v>
      </c>
      <c r="R66" s="13">
        <f t="shared" si="12"/>
        <v>0.53312309881423159</v>
      </c>
    </row>
    <row r="67" spans="1:18" x14ac:dyDescent="0.25">
      <c r="A67" s="15">
        <v>66</v>
      </c>
      <c r="B67" s="6">
        <v>20.6</v>
      </c>
      <c r="C67" s="12">
        <f t="shared" ref="C67:C70" si="17">B67-20.47</f>
        <v>0.13000000000000256</v>
      </c>
      <c r="D67" s="13">
        <f t="shared" ref="D67:D91" si="18">C67^2</f>
        <v>1.6900000000000664E-2</v>
      </c>
      <c r="E67" s="13">
        <f t="shared" ref="E67:E77" si="19">D67/90*(90-1)</f>
        <v>1.6712222222222878E-2</v>
      </c>
      <c r="F67" s="13">
        <f t="shared" ref="F67:F70" si="20">E67*1.96</f>
        <v>3.275595555555684E-2</v>
      </c>
      <c r="G67" s="13">
        <f t="shared" ref="G67:G69" si="21">(F67/20.47)*100%</f>
        <v>1.6001932367150386E-3</v>
      </c>
      <c r="H67" s="13"/>
      <c r="I67" s="6">
        <v>1.4</v>
      </c>
      <c r="J67" s="12">
        <f t="shared" si="16"/>
        <v>-3.0000000000000027E-2</v>
      </c>
      <c r="K67" s="13">
        <f t="shared" ref="K67:K91" si="22">J67^2</f>
        <v>9.000000000000016E-4</v>
      </c>
      <c r="L67" s="13">
        <f t="shared" ref="L67" si="23">K67/90*(90-1)</f>
        <v>8.9000000000000158E-4</v>
      </c>
      <c r="M67" s="13">
        <f t="shared" si="8"/>
        <v>1.7444000000000032E-3</v>
      </c>
      <c r="N67" s="13">
        <f>(M67/1.43)*100%</f>
        <v>1.219860139860142E-3</v>
      </c>
      <c r="P67" s="12">
        <f t="shared" ref="P67:P91" si="24">B67*I67</f>
        <v>28.84</v>
      </c>
      <c r="Q67" s="13">
        <f t="shared" ref="Q67:Q91" si="25">G67+N67</f>
        <v>2.8200533765751806E-3</v>
      </c>
      <c r="R67" s="13">
        <f t="shared" ref="R67:R91" si="26">P67*Q67</f>
        <v>8.1330339380428204E-2</v>
      </c>
    </row>
    <row r="68" spans="1:18" x14ac:dyDescent="0.25">
      <c r="A68" s="15">
        <v>67</v>
      </c>
      <c r="B68" s="6">
        <v>20.5</v>
      </c>
      <c r="C68" s="12">
        <f t="shared" si="17"/>
        <v>3.0000000000001137E-2</v>
      </c>
      <c r="D68" s="13">
        <f t="shared" si="18"/>
        <v>9.0000000000006817E-4</v>
      </c>
      <c r="E68" s="13">
        <f t="shared" si="19"/>
        <v>8.9000000000006749E-4</v>
      </c>
      <c r="F68" s="13">
        <f t="shared" si="20"/>
        <v>1.7444000000001322E-3</v>
      </c>
      <c r="G68" s="13">
        <f t="shared" si="21"/>
        <v>8.5217391304354283E-5</v>
      </c>
      <c r="H68" s="13"/>
      <c r="I68" s="6">
        <v>1.45</v>
      </c>
      <c r="J68" s="12">
        <f t="shared" si="16"/>
        <v>2.0000000000000018E-2</v>
      </c>
      <c r="K68" s="13">
        <f t="shared" si="22"/>
        <v>4.0000000000000072E-4</v>
      </c>
      <c r="L68" s="13">
        <f>K68/90*(90-1)</f>
        <v>3.9555555555555627E-4</v>
      </c>
      <c r="M68" s="13">
        <f t="shared" ref="M68:M79" si="27">L68*1.96</f>
        <v>7.7528888888889029E-4</v>
      </c>
      <c r="N68" s="13">
        <f t="shared" si="9"/>
        <v>5.421600621600632E-4</v>
      </c>
      <c r="P68" s="12">
        <f t="shared" si="24"/>
        <v>29.724999999999998</v>
      </c>
      <c r="Q68" s="13">
        <f t="shared" si="25"/>
        <v>6.2737745346441753E-4</v>
      </c>
      <c r="R68" s="13">
        <f t="shared" si="26"/>
        <v>1.8648794804229811E-2</v>
      </c>
    </row>
    <row r="69" spans="1:18" x14ac:dyDescent="0.25">
      <c r="A69" s="15">
        <v>68</v>
      </c>
      <c r="B69" s="6">
        <v>20.55</v>
      </c>
      <c r="C69" s="12">
        <f t="shared" si="17"/>
        <v>8.0000000000001847E-2</v>
      </c>
      <c r="D69" s="13">
        <f t="shared" si="18"/>
        <v>6.4000000000002952E-3</v>
      </c>
      <c r="E69" s="13">
        <f t="shared" si="19"/>
        <v>6.3288888888891805E-3</v>
      </c>
      <c r="F69" s="13">
        <f t="shared" si="20"/>
        <v>1.2404622222222793E-2</v>
      </c>
      <c r="G69" s="13">
        <f t="shared" si="21"/>
        <v>6.0599033816427907E-4</v>
      </c>
      <c r="H69" s="13"/>
      <c r="I69" s="6">
        <v>1.35</v>
      </c>
      <c r="J69" s="12">
        <f t="shared" si="16"/>
        <v>-7.9999999999999849E-2</v>
      </c>
      <c r="K69" s="13">
        <f t="shared" si="22"/>
        <v>6.399999999999976E-3</v>
      </c>
      <c r="L69" s="13">
        <f t="shared" ref="L69:L83" si="28">K69/90*(90-1)</f>
        <v>6.3288888888888657E-3</v>
      </c>
      <c r="M69" s="13">
        <f t="shared" si="27"/>
        <v>1.2404622222222177E-2</v>
      </c>
      <c r="N69" s="13">
        <f t="shared" ref="N69:N78" si="29">(M69/1.43)*100%</f>
        <v>8.6745609945609627E-3</v>
      </c>
      <c r="P69" s="12">
        <f t="shared" si="24"/>
        <v>27.742500000000003</v>
      </c>
      <c r="Q69" s="13">
        <f t="shared" si="25"/>
        <v>9.2805513327252412E-3</v>
      </c>
      <c r="R69" s="13">
        <f t="shared" si="26"/>
        <v>0.25746569534813002</v>
      </c>
    </row>
    <row r="70" spans="1:18" x14ac:dyDescent="0.25">
      <c r="A70" s="14">
        <v>69</v>
      </c>
      <c r="B70" s="6">
        <v>20.399999999999999</v>
      </c>
      <c r="C70" s="12">
        <f t="shared" si="17"/>
        <v>-7.0000000000000284E-2</v>
      </c>
      <c r="D70" s="13">
        <f t="shared" si="18"/>
        <v>4.9000000000000397E-3</v>
      </c>
      <c r="E70" s="13">
        <f t="shared" si="19"/>
        <v>4.8455555555555951E-3</v>
      </c>
      <c r="F70" s="13">
        <f t="shared" si="20"/>
        <v>9.4972888888889655E-3</v>
      </c>
      <c r="G70" s="13">
        <f>(F70/20.47)*100%</f>
        <v>4.6396135265700862E-4</v>
      </c>
      <c r="H70" s="13"/>
      <c r="I70" s="6">
        <v>1.35</v>
      </c>
      <c r="J70" s="12">
        <f t="shared" si="16"/>
        <v>-7.9999999999999849E-2</v>
      </c>
      <c r="K70" s="13">
        <f t="shared" si="22"/>
        <v>6.399999999999976E-3</v>
      </c>
      <c r="L70" s="13">
        <f t="shared" si="28"/>
        <v>6.3288888888888657E-3</v>
      </c>
      <c r="M70" s="13">
        <f t="shared" si="27"/>
        <v>1.2404622222222177E-2</v>
      </c>
      <c r="N70" s="13">
        <f t="shared" si="29"/>
        <v>8.6745609945609627E-3</v>
      </c>
      <c r="P70" s="12">
        <f t="shared" si="24"/>
        <v>27.54</v>
      </c>
      <c r="Q70" s="13">
        <f t="shared" si="25"/>
        <v>9.138522347217971E-3</v>
      </c>
      <c r="R70" s="13">
        <f t="shared" si="26"/>
        <v>0.25167490544238291</v>
      </c>
    </row>
    <row r="71" spans="1:18" x14ac:dyDescent="0.25">
      <c r="A71" s="15">
        <v>70</v>
      </c>
      <c r="B71" s="6">
        <v>20.65</v>
      </c>
      <c r="C71" s="12">
        <f>B71-20.47</f>
        <v>0.17999999999999972</v>
      </c>
      <c r="D71" s="13">
        <f t="shared" si="18"/>
        <v>3.2399999999999901E-2</v>
      </c>
      <c r="E71" s="13">
        <f t="shared" si="19"/>
        <v>3.2039999999999902E-2</v>
      </c>
      <c r="F71" s="13">
        <f>E71*1.96</f>
        <v>6.279839999999981E-2</v>
      </c>
      <c r="G71" s="13">
        <f t="shared" ref="G71:G86" si="30">(F71/20.47)*100%</f>
        <v>3.0678260869565128E-3</v>
      </c>
      <c r="H71" s="13"/>
      <c r="I71" s="6">
        <v>1.4</v>
      </c>
      <c r="J71" s="12">
        <f t="shared" si="16"/>
        <v>-3.0000000000000027E-2</v>
      </c>
      <c r="K71" s="13">
        <f t="shared" si="22"/>
        <v>9.000000000000016E-4</v>
      </c>
      <c r="L71" s="13">
        <f t="shared" si="28"/>
        <v>8.9000000000000158E-4</v>
      </c>
      <c r="M71" s="13">
        <f t="shared" si="27"/>
        <v>1.7444000000000032E-3</v>
      </c>
      <c r="N71" s="13">
        <f t="shared" si="29"/>
        <v>1.219860139860142E-3</v>
      </c>
      <c r="P71" s="12">
        <f t="shared" si="24"/>
        <v>28.909999999999997</v>
      </c>
      <c r="Q71" s="13">
        <f t="shared" si="25"/>
        <v>4.2876862268166546E-3</v>
      </c>
      <c r="R71" s="13">
        <f t="shared" si="26"/>
        <v>0.12395700881726947</v>
      </c>
    </row>
    <row r="72" spans="1:18" x14ac:dyDescent="0.25">
      <c r="A72" s="15">
        <v>71</v>
      </c>
      <c r="B72" s="6">
        <v>20.6</v>
      </c>
      <c r="C72" s="12">
        <f t="shared" ref="C72:C79" si="31">B72-20.47</f>
        <v>0.13000000000000256</v>
      </c>
      <c r="D72" s="13">
        <f t="shared" si="18"/>
        <v>1.6900000000000664E-2</v>
      </c>
      <c r="E72" s="13">
        <f t="shared" si="19"/>
        <v>1.6712222222222878E-2</v>
      </c>
      <c r="F72" s="13">
        <f t="shared" ref="F72:F79" si="32">E72*1.96</f>
        <v>3.275595555555684E-2</v>
      </c>
      <c r="G72" s="13">
        <f t="shared" si="30"/>
        <v>1.6001932367150386E-3</v>
      </c>
      <c r="H72" s="13"/>
      <c r="I72" s="6">
        <v>1.4</v>
      </c>
      <c r="J72" s="12">
        <f t="shared" si="16"/>
        <v>-3.0000000000000027E-2</v>
      </c>
      <c r="K72" s="13">
        <f t="shared" si="22"/>
        <v>9.000000000000016E-4</v>
      </c>
      <c r="L72" s="13">
        <f t="shared" si="28"/>
        <v>8.9000000000000158E-4</v>
      </c>
      <c r="M72" s="13">
        <f t="shared" si="27"/>
        <v>1.7444000000000032E-3</v>
      </c>
      <c r="N72" s="13">
        <f t="shared" si="29"/>
        <v>1.219860139860142E-3</v>
      </c>
      <c r="P72" s="12">
        <f t="shared" si="24"/>
        <v>28.84</v>
      </c>
      <c r="Q72" s="13">
        <f t="shared" si="25"/>
        <v>2.8200533765751806E-3</v>
      </c>
      <c r="R72" s="13">
        <f t="shared" si="26"/>
        <v>8.1330339380428204E-2</v>
      </c>
    </row>
    <row r="73" spans="1:18" x14ac:dyDescent="0.25">
      <c r="A73" s="15">
        <v>72</v>
      </c>
      <c r="B73" s="6">
        <v>20.45</v>
      </c>
      <c r="C73" s="12">
        <f t="shared" si="31"/>
        <v>-1.9999999999999574E-2</v>
      </c>
      <c r="D73" s="13">
        <f t="shared" si="18"/>
        <v>3.9999999999998294E-4</v>
      </c>
      <c r="E73" s="13">
        <f t="shared" si="19"/>
        <v>3.9555555555553871E-4</v>
      </c>
      <c r="F73" s="13">
        <f t="shared" si="32"/>
        <v>7.7528888888885581E-4</v>
      </c>
      <c r="G73" s="13">
        <f t="shared" si="30"/>
        <v>3.7874396135264087E-5</v>
      </c>
      <c r="H73" s="13"/>
      <c r="I73" s="6">
        <v>1.4</v>
      </c>
      <c r="J73" s="12">
        <f t="shared" si="16"/>
        <v>-3.0000000000000027E-2</v>
      </c>
      <c r="K73" s="13">
        <f t="shared" si="22"/>
        <v>9.000000000000016E-4</v>
      </c>
      <c r="L73" s="13">
        <f t="shared" si="28"/>
        <v>8.9000000000000158E-4</v>
      </c>
      <c r="M73" s="13">
        <f t="shared" si="27"/>
        <v>1.7444000000000032E-3</v>
      </c>
      <c r="N73" s="13">
        <f t="shared" si="29"/>
        <v>1.219860139860142E-3</v>
      </c>
      <c r="P73" s="12">
        <f t="shared" si="24"/>
        <v>28.629999999999995</v>
      </c>
      <c r="Q73" s="13">
        <f t="shared" si="25"/>
        <v>1.2577345359954062E-3</v>
      </c>
      <c r="R73" s="13">
        <f t="shared" si="26"/>
        <v>3.6008939765548476E-2</v>
      </c>
    </row>
    <row r="74" spans="1:18" x14ac:dyDescent="0.25">
      <c r="A74" s="15">
        <v>73</v>
      </c>
      <c r="B74" s="6">
        <v>20.6</v>
      </c>
      <c r="C74" s="12">
        <f t="shared" si="31"/>
        <v>0.13000000000000256</v>
      </c>
      <c r="D74" s="13">
        <f t="shared" si="18"/>
        <v>1.6900000000000664E-2</v>
      </c>
      <c r="E74" s="13">
        <f t="shared" si="19"/>
        <v>1.6712222222222878E-2</v>
      </c>
      <c r="F74" s="13">
        <f t="shared" si="32"/>
        <v>3.275595555555684E-2</v>
      </c>
      <c r="G74" s="13">
        <f t="shared" si="30"/>
        <v>1.6001932367150386E-3</v>
      </c>
      <c r="H74" s="13"/>
      <c r="I74" s="6">
        <v>1.4</v>
      </c>
      <c r="J74" s="12">
        <f t="shared" si="16"/>
        <v>-3.0000000000000027E-2</v>
      </c>
      <c r="K74" s="13">
        <f t="shared" si="22"/>
        <v>9.000000000000016E-4</v>
      </c>
      <c r="L74" s="13">
        <f t="shared" si="28"/>
        <v>8.9000000000000158E-4</v>
      </c>
      <c r="M74" s="13">
        <f t="shared" si="27"/>
        <v>1.7444000000000032E-3</v>
      </c>
      <c r="N74" s="13">
        <f t="shared" si="29"/>
        <v>1.219860139860142E-3</v>
      </c>
      <c r="P74" s="12">
        <f t="shared" si="24"/>
        <v>28.84</v>
      </c>
      <c r="Q74" s="13">
        <f t="shared" si="25"/>
        <v>2.8200533765751806E-3</v>
      </c>
      <c r="R74" s="13">
        <f t="shared" si="26"/>
        <v>8.1330339380428204E-2</v>
      </c>
    </row>
    <row r="75" spans="1:18" x14ac:dyDescent="0.25">
      <c r="A75" s="14">
        <v>74</v>
      </c>
      <c r="B75" s="6">
        <v>20.6</v>
      </c>
      <c r="C75" s="12">
        <f t="shared" si="31"/>
        <v>0.13000000000000256</v>
      </c>
      <c r="D75" s="13">
        <f t="shared" si="18"/>
        <v>1.6900000000000664E-2</v>
      </c>
      <c r="E75" s="13">
        <f t="shared" si="19"/>
        <v>1.6712222222222878E-2</v>
      </c>
      <c r="F75" s="13">
        <f t="shared" si="32"/>
        <v>3.275595555555684E-2</v>
      </c>
      <c r="G75" s="13">
        <f t="shared" si="30"/>
        <v>1.6001932367150386E-3</v>
      </c>
      <c r="H75" s="13"/>
      <c r="I75" s="6">
        <v>1.4</v>
      </c>
      <c r="J75" s="12">
        <f>I75-1.43</f>
        <v>-3.0000000000000027E-2</v>
      </c>
      <c r="K75" s="13">
        <f t="shared" si="22"/>
        <v>9.000000000000016E-4</v>
      </c>
      <c r="L75" s="13">
        <f t="shared" si="28"/>
        <v>8.9000000000000158E-4</v>
      </c>
      <c r="M75" s="13">
        <f t="shared" si="27"/>
        <v>1.7444000000000032E-3</v>
      </c>
      <c r="N75" s="13">
        <f t="shared" si="29"/>
        <v>1.219860139860142E-3</v>
      </c>
      <c r="P75" s="12">
        <f t="shared" si="24"/>
        <v>28.84</v>
      </c>
      <c r="Q75" s="13">
        <f t="shared" si="25"/>
        <v>2.8200533765751806E-3</v>
      </c>
      <c r="R75" s="13">
        <f t="shared" si="26"/>
        <v>8.1330339380428204E-2</v>
      </c>
    </row>
    <row r="76" spans="1:18" x14ac:dyDescent="0.25">
      <c r="A76" s="14">
        <v>75</v>
      </c>
      <c r="B76" s="6">
        <v>20.6</v>
      </c>
      <c r="C76" s="12">
        <f t="shared" si="31"/>
        <v>0.13000000000000256</v>
      </c>
      <c r="D76" s="13">
        <f t="shared" si="18"/>
        <v>1.6900000000000664E-2</v>
      </c>
      <c r="E76" s="13">
        <f>D76/90*(90-1)</f>
        <v>1.6712222222222878E-2</v>
      </c>
      <c r="F76" s="13">
        <f t="shared" si="32"/>
        <v>3.275595555555684E-2</v>
      </c>
      <c r="G76" s="13">
        <f t="shared" si="30"/>
        <v>1.6001932367150386E-3</v>
      </c>
      <c r="H76" s="13"/>
      <c r="I76" s="6">
        <v>1.3</v>
      </c>
      <c r="J76" s="12">
        <f t="shared" ref="J76:J81" si="33">I76-1.43</f>
        <v>-0.12999999999999989</v>
      </c>
      <c r="K76" s="13">
        <f t="shared" si="22"/>
        <v>1.6899999999999971E-2</v>
      </c>
      <c r="L76" s="13">
        <f t="shared" si="28"/>
        <v>1.6712222222222194E-2</v>
      </c>
      <c r="M76" s="13">
        <f t="shared" si="27"/>
        <v>3.2755955555555501E-2</v>
      </c>
      <c r="N76" s="13">
        <f t="shared" si="29"/>
        <v>2.2906262626262591E-2</v>
      </c>
      <c r="P76" s="12">
        <f t="shared" si="24"/>
        <v>26.78</v>
      </c>
      <c r="Q76" s="13">
        <f t="shared" si="25"/>
        <v>2.450645586297763E-2</v>
      </c>
      <c r="R76" s="13">
        <f t="shared" si="26"/>
        <v>0.65628288801054091</v>
      </c>
    </row>
    <row r="77" spans="1:18" x14ac:dyDescent="0.25">
      <c r="A77" s="15">
        <v>76</v>
      </c>
      <c r="B77" s="6">
        <v>20.3</v>
      </c>
      <c r="C77" s="12">
        <f t="shared" si="31"/>
        <v>-0.16999999999999815</v>
      </c>
      <c r="D77" s="13">
        <f t="shared" si="18"/>
        <v>2.8899999999999371E-2</v>
      </c>
      <c r="E77" s="13">
        <f t="shared" si="19"/>
        <v>2.8578888888888265E-2</v>
      </c>
      <c r="F77" s="13">
        <f t="shared" si="32"/>
        <v>5.6014622222220999E-2</v>
      </c>
      <c r="G77" s="13">
        <f t="shared" si="30"/>
        <v>2.7364251207728871E-3</v>
      </c>
      <c r="H77" s="13"/>
      <c r="I77" s="6">
        <v>1.4</v>
      </c>
      <c r="J77" s="12">
        <f t="shared" si="33"/>
        <v>-3.0000000000000027E-2</v>
      </c>
      <c r="K77" s="13">
        <f t="shared" si="22"/>
        <v>9.000000000000016E-4</v>
      </c>
      <c r="L77" s="13">
        <f t="shared" si="28"/>
        <v>8.9000000000000158E-4</v>
      </c>
      <c r="M77" s="13">
        <f t="shared" si="27"/>
        <v>1.7444000000000032E-3</v>
      </c>
      <c r="N77" s="13">
        <f t="shared" si="29"/>
        <v>1.219860139860142E-3</v>
      </c>
      <c r="P77" s="12">
        <f t="shared" si="24"/>
        <v>28.419999999999998</v>
      </c>
      <c r="Q77" s="13">
        <f t="shared" si="25"/>
        <v>3.9562852606330294E-3</v>
      </c>
      <c r="R77" s="13">
        <f t="shared" si="26"/>
        <v>0.11243762710719069</v>
      </c>
    </row>
    <row r="78" spans="1:18" x14ac:dyDescent="0.25">
      <c r="A78" s="15">
        <v>77</v>
      </c>
      <c r="B78" s="6">
        <v>20.399999999999999</v>
      </c>
      <c r="C78" s="12">
        <f t="shared" si="31"/>
        <v>-7.0000000000000284E-2</v>
      </c>
      <c r="D78" s="13">
        <f t="shared" si="18"/>
        <v>4.9000000000000397E-3</v>
      </c>
      <c r="E78" s="13">
        <f>D78/90*(90-1)</f>
        <v>4.8455555555555951E-3</v>
      </c>
      <c r="F78" s="13">
        <f t="shared" si="32"/>
        <v>9.4972888888889655E-3</v>
      </c>
      <c r="G78" s="13">
        <f t="shared" si="30"/>
        <v>4.6396135265700862E-4</v>
      </c>
      <c r="H78" s="13"/>
      <c r="I78" s="6">
        <v>1.4</v>
      </c>
      <c r="J78" s="12">
        <f t="shared" si="33"/>
        <v>-3.0000000000000027E-2</v>
      </c>
      <c r="K78" s="13">
        <f t="shared" si="22"/>
        <v>9.000000000000016E-4</v>
      </c>
      <c r="L78" s="13">
        <f t="shared" si="28"/>
        <v>8.9000000000000158E-4</v>
      </c>
      <c r="M78" s="13">
        <f t="shared" si="27"/>
        <v>1.7444000000000032E-3</v>
      </c>
      <c r="N78" s="13">
        <f t="shared" si="29"/>
        <v>1.219860139860142E-3</v>
      </c>
      <c r="P78" s="12">
        <f t="shared" si="24"/>
        <v>28.559999999999995</v>
      </c>
      <c r="Q78" s="13">
        <f t="shared" si="25"/>
        <v>1.6838214925171506E-3</v>
      </c>
      <c r="R78" s="13">
        <f t="shared" si="26"/>
        <v>4.8089941826289812E-2</v>
      </c>
    </row>
    <row r="79" spans="1:18" x14ac:dyDescent="0.25">
      <c r="A79" s="15">
        <v>78</v>
      </c>
      <c r="B79" s="6">
        <v>20.399999999999999</v>
      </c>
      <c r="C79" s="12">
        <f t="shared" si="31"/>
        <v>-7.0000000000000284E-2</v>
      </c>
      <c r="D79" s="13">
        <f t="shared" si="18"/>
        <v>4.9000000000000397E-3</v>
      </c>
      <c r="E79" s="13">
        <f t="shared" ref="E79:E91" si="34">D79/90*(90-1)</f>
        <v>4.8455555555555951E-3</v>
      </c>
      <c r="F79" s="13">
        <f t="shared" si="32"/>
        <v>9.4972888888889655E-3</v>
      </c>
      <c r="G79" s="13">
        <f t="shared" si="30"/>
        <v>4.6396135265700862E-4</v>
      </c>
      <c r="H79" s="13"/>
      <c r="I79" s="6">
        <v>1.4</v>
      </c>
      <c r="J79" s="12">
        <f t="shared" si="33"/>
        <v>-3.0000000000000027E-2</v>
      </c>
      <c r="K79" s="13">
        <f t="shared" si="22"/>
        <v>9.000000000000016E-4</v>
      </c>
      <c r="L79" s="13">
        <f t="shared" si="28"/>
        <v>8.9000000000000158E-4</v>
      </c>
      <c r="M79" s="13">
        <f t="shared" si="27"/>
        <v>1.7444000000000032E-3</v>
      </c>
      <c r="N79" s="13">
        <f>(M79/1.43)*100%</f>
        <v>1.219860139860142E-3</v>
      </c>
      <c r="P79" s="12">
        <f t="shared" si="24"/>
        <v>28.559999999999995</v>
      </c>
      <c r="Q79" s="13">
        <f t="shared" si="25"/>
        <v>1.6838214925171506E-3</v>
      </c>
      <c r="R79" s="13">
        <f t="shared" si="26"/>
        <v>4.8089941826289812E-2</v>
      </c>
    </row>
    <row r="80" spans="1:18" x14ac:dyDescent="0.25">
      <c r="A80" s="15">
        <v>79</v>
      </c>
      <c r="B80" s="6">
        <v>20.5</v>
      </c>
      <c r="C80" s="12">
        <f>B80-20.47</f>
        <v>3.0000000000001137E-2</v>
      </c>
      <c r="D80" s="13">
        <f t="shared" si="18"/>
        <v>9.0000000000006817E-4</v>
      </c>
      <c r="E80" s="13">
        <f t="shared" si="34"/>
        <v>8.9000000000006749E-4</v>
      </c>
      <c r="F80" s="13">
        <f>E80*1.96</f>
        <v>1.7444000000001322E-3</v>
      </c>
      <c r="G80" s="13">
        <f t="shared" si="30"/>
        <v>8.5217391304354283E-5</v>
      </c>
      <c r="H80" s="13"/>
      <c r="I80" s="6">
        <v>1.4</v>
      </c>
      <c r="J80" s="12">
        <f t="shared" si="33"/>
        <v>-3.0000000000000027E-2</v>
      </c>
      <c r="K80" s="13">
        <f t="shared" si="22"/>
        <v>9.000000000000016E-4</v>
      </c>
      <c r="L80" s="13">
        <f t="shared" si="28"/>
        <v>8.9000000000000158E-4</v>
      </c>
      <c r="M80" s="13">
        <f>L80*1.96</f>
        <v>1.7444000000000032E-3</v>
      </c>
      <c r="N80" s="13">
        <f t="shared" ref="N80:N91" si="35">(M80/1.43)*100%</f>
        <v>1.219860139860142E-3</v>
      </c>
      <c r="P80" s="12">
        <f t="shared" si="24"/>
        <v>28.7</v>
      </c>
      <c r="Q80" s="13">
        <f t="shared" si="25"/>
        <v>1.3050775311644963E-3</v>
      </c>
      <c r="R80" s="13">
        <f t="shared" si="26"/>
        <v>3.745572514442104E-2</v>
      </c>
    </row>
    <row r="81" spans="1:18" x14ac:dyDescent="0.25">
      <c r="A81" s="14">
        <v>80</v>
      </c>
      <c r="B81" s="6">
        <v>20.6</v>
      </c>
      <c r="C81" s="12">
        <f t="shared" ref="C81:C88" si="36">B81-20.47</f>
        <v>0.13000000000000256</v>
      </c>
      <c r="D81" s="13">
        <f t="shared" si="18"/>
        <v>1.6900000000000664E-2</v>
      </c>
      <c r="E81" s="13">
        <f t="shared" si="34"/>
        <v>1.6712222222222878E-2</v>
      </c>
      <c r="F81" s="13">
        <f t="shared" ref="F81:F91" si="37">E81*1.96</f>
        <v>3.275595555555684E-2</v>
      </c>
      <c r="G81" s="13">
        <f t="shared" si="30"/>
        <v>1.6001932367150386E-3</v>
      </c>
      <c r="H81" s="13"/>
      <c r="I81" s="6">
        <v>1.4</v>
      </c>
      <c r="J81" s="12">
        <f t="shared" si="33"/>
        <v>-3.0000000000000027E-2</v>
      </c>
      <c r="K81" s="13">
        <f t="shared" si="22"/>
        <v>9.000000000000016E-4</v>
      </c>
      <c r="L81" s="13">
        <f t="shared" si="28"/>
        <v>8.9000000000000158E-4</v>
      </c>
      <c r="M81" s="13">
        <f t="shared" ref="M81:M91" si="38">L81*1.96</f>
        <v>1.7444000000000032E-3</v>
      </c>
      <c r="N81" s="13">
        <f t="shared" si="35"/>
        <v>1.219860139860142E-3</v>
      </c>
      <c r="P81" s="12">
        <f t="shared" si="24"/>
        <v>28.84</v>
      </c>
      <c r="Q81" s="13">
        <f t="shared" si="25"/>
        <v>2.8200533765751806E-3</v>
      </c>
      <c r="R81" s="13">
        <f t="shared" si="26"/>
        <v>8.1330339380428204E-2</v>
      </c>
    </row>
    <row r="82" spans="1:18" x14ac:dyDescent="0.25">
      <c r="A82" s="15">
        <v>81</v>
      </c>
      <c r="B82" s="6">
        <v>20.7</v>
      </c>
      <c r="C82" s="12">
        <f t="shared" si="36"/>
        <v>0.23000000000000043</v>
      </c>
      <c r="D82" s="13">
        <f t="shared" si="18"/>
        <v>5.2900000000000197E-2</v>
      </c>
      <c r="E82" s="13">
        <f t="shared" si="34"/>
        <v>5.2312222222222413E-2</v>
      </c>
      <c r="F82" s="13">
        <f t="shared" si="37"/>
        <v>0.10253195555555593</v>
      </c>
      <c r="G82" s="13">
        <f t="shared" si="30"/>
        <v>5.0088888888889073E-3</v>
      </c>
      <c r="H82" s="13"/>
      <c r="I82" s="6">
        <v>1.4</v>
      </c>
      <c r="J82" s="12">
        <f>I82-1.43</f>
        <v>-3.0000000000000027E-2</v>
      </c>
      <c r="K82" s="13">
        <f t="shared" si="22"/>
        <v>9.000000000000016E-4</v>
      </c>
      <c r="L82" s="13">
        <f t="shared" si="28"/>
        <v>8.9000000000000158E-4</v>
      </c>
      <c r="M82" s="13">
        <f t="shared" si="38"/>
        <v>1.7444000000000032E-3</v>
      </c>
      <c r="N82" s="13">
        <f t="shared" si="35"/>
        <v>1.219860139860142E-3</v>
      </c>
      <c r="P82" s="12">
        <f t="shared" si="24"/>
        <v>28.979999999999997</v>
      </c>
      <c r="Q82" s="13">
        <f t="shared" si="25"/>
        <v>6.2287490287490496E-3</v>
      </c>
      <c r="R82" s="13">
        <f t="shared" si="26"/>
        <v>0.18050914685314745</v>
      </c>
    </row>
    <row r="83" spans="1:18" x14ac:dyDescent="0.25">
      <c r="A83" s="15">
        <v>82</v>
      </c>
      <c r="B83" s="6">
        <v>20.6</v>
      </c>
      <c r="C83" s="12">
        <f t="shared" si="36"/>
        <v>0.13000000000000256</v>
      </c>
      <c r="D83" s="13">
        <f t="shared" si="18"/>
        <v>1.6900000000000664E-2</v>
      </c>
      <c r="E83" s="13">
        <f t="shared" si="34"/>
        <v>1.6712222222222878E-2</v>
      </c>
      <c r="F83" s="13">
        <f t="shared" si="37"/>
        <v>3.275595555555684E-2</v>
      </c>
      <c r="G83" s="13">
        <f t="shared" si="30"/>
        <v>1.6001932367150386E-3</v>
      </c>
      <c r="H83" s="13"/>
      <c r="I83" s="6">
        <v>1.4</v>
      </c>
      <c r="J83" s="12">
        <f t="shared" ref="J83:J91" si="39">I83-1.43</f>
        <v>-3.0000000000000027E-2</v>
      </c>
      <c r="K83" s="13">
        <f t="shared" si="22"/>
        <v>9.000000000000016E-4</v>
      </c>
      <c r="L83" s="13">
        <f t="shared" si="28"/>
        <v>8.9000000000000158E-4</v>
      </c>
      <c r="M83" s="13">
        <f t="shared" si="38"/>
        <v>1.7444000000000032E-3</v>
      </c>
      <c r="N83" s="13">
        <f t="shared" si="35"/>
        <v>1.219860139860142E-3</v>
      </c>
      <c r="P83" s="12">
        <f t="shared" si="24"/>
        <v>28.84</v>
      </c>
      <c r="Q83" s="13">
        <f t="shared" si="25"/>
        <v>2.8200533765751806E-3</v>
      </c>
      <c r="R83" s="13">
        <f t="shared" si="26"/>
        <v>8.1330339380428204E-2</v>
      </c>
    </row>
    <row r="84" spans="1:18" x14ac:dyDescent="0.25">
      <c r="A84" s="15">
        <v>83</v>
      </c>
      <c r="B84" s="6">
        <v>20.25</v>
      </c>
      <c r="C84" s="12">
        <f t="shared" si="36"/>
        <v>-0.21999999999999886</v>
      </c>
      <c r="D84" s="13">
        <f t="shared" si="18"/>
        <v>4.8399999999999499E-2</v>
      </c>
      <c r="E84" s="13">
        <f t="shared" si="34"/>
        <v>4.786222222222173E-2</v>
      </c>
      <c r="F84" s="13">
        <f t="shared" si="37"/>
        <v>9.3809955555554589E-2</v>
      </c>
      <c r="G84" s="13">
        <f t="shared" si="30"/>
        <v>4.5828019323671029E-3</v>
      </c>
      <c r="H84" s="13"/>
      <c r="I84" s="6">
        <v>1.4</v>
      </c>
      <c r="J84" s="12">
        <f t="shared" si="39"/>
        <v>-3.0000000000000027E-2</v>
      </c>
      <c r="K84" s="13">
        <f t="shared" si="22"/>
        <v>9.000000000000016E-4</v>
      </c>
      <c r="L84" s="13">
        <f>K84/90*(90-1)</f>
        <v>8.9000000000000158E-4</v>
      </c>
      <c r="M84" s="13">
        <f t="shared" si="38"/>
        <v>1.7444000000000032E-3</v>
      </c>
      <c r="N84" s="13">
        <f t="shared" si="35"/>
        <v>1.219860139860142E-3</v>
      </c>
      <c r="P84" s="12">
        <f t="shared" si="24"/>
        <v>28.349999999999998</v>
      </c>
      <c r="Q84" s="13">
        <f t="shared" si="25"/>
        <v>5.8026620722272451E-3</v>
      </c>
      <c r="R84" s="13">
        <f t="shared" si="26"/>
        <v>0.16450546974764238</v>
      </c>
    </row>
    <row r="85" spans="1:18" x14ac:dyDescent="0.25">
      <c r="A85" s="15">
        <v>84</v>
      </c>
      <c r="B85" s="6">
        <v>20.5</v>
      </c>
      <c r="C85" s="12">
        <f t="shared" si="36"/>
        <v>3.0000000000001137E-2</v>
      </c>
      <c r="D85" s="13">
        <f t="shared" si="18"/>
        <v>9.0000000000006817E-4</v>
      </c>
      <c r="E85" s="13">
        <f t="shared" si="34"/>
        <v>8.9000000000006749E-4</v>
      </c>
      <c r="F85" s="13">
        <f t="shared" si="37"/>
        <v>1.7444000000001322E-3</v>
      </c>
      <c r="G85" s="13">
        <f t="shared" si="30"/>
        <v>8.5217391304354283E-5</v>
      </c>
      <c r="H85" s="13"/>
      <c r="I85" s="6">
        <v>1.4</v>
      </c>
      <c r="J85" s="12">
        <f t="shared" si="39"/>
        <v>-3.0000000000000027E-2</v>
      </c>
      <c r="K85" s="13">
        <f t="shared" si="22"/>
        <v>9.000000000000016E-4</v>
      </c>
      <c r="L85" s="13">
        <f t="shared" ref="L85:L91" si="40">K85/90*(90-1)</f>
        <v>8.9000000000000158E-4</v>
      </c>
      <c r="M85" s="13">
        <f t="shared" si="38"/>
        <v>1.7444000000000032E-3</v>
      </c>
      <c r="N85" s="13">
        <f t="shared" si="35"/>
        <v>1.219860139860142E-3</v>
      </c>
      <c r="P85" s="12">
        <f t="shared" si="24"/>
        <v>28.7</v>
      </c>
      <c r="Q85" s="13">
        <f t="shared" si="25"/>
        <v>1.3050775311644963E-3</v>
      </c>
      <c r="R85" s="13">
        <f t="shared" si="26"/>
        <v>3.745572514442104E-2</v>
      </c>
    </row>
    <row r="86" spans="1:18" x14ac:dyDescent="0.25">
      <c r="A86" s="14">
        <v>85</v>
      </c>
      <c r="B86" s="6">
        <v>20.399999999999999</v>
      </c>
      <c r="C86" s="12">
        <f t="shared" si="36"/>
        <v>-7.0000000000000284E-2</v>
      </c>
      <c r="D86" s="13">
        <f t="shared" si="18"/>
        <v>4.9000000000000397E-3</v>
      </c>
      <c r="E86" s="13">
        <f t="shared" si="34"/>
        <v>4.8455555555555951E-3</v>
      </c>
      <c r="F86" s="13">
        <f t="shared" si="37"/>
        <v>9.4972888888889655E-3</v>
      </c>
      <c r="G86" s="13">
        <f t="shared" si="30"/>
        <v>4.6396135265700862E-4</v>
      </c>
      <c r="H86" s="13"/>
      <c r="I86" s="6">
        <v>1.4</v>
      </c>
      <c r="J86" s="12">
        <f t="shared" si="39"/>
        <v>-3.0000000000000027E-2</v>
      </c>
      <c r="K86" s="13">
        <f t="shared" si="22"/>
        <v>9.000000000000016E-4</v>
      </c>
      <c r="L86" s="13">
        <f t="shared" si="40"/>
        <v>8.9000000000000158E-4</v>
      </c>
      <c r="M86" s="13">
        <f t="shared" si="38"/>
        <v>1.7444000000000032E-3</v>
      </c>
      <c r="N86" s="13">
        <f t="shared" si="35"/>
        <v>1.219860139860142E-3</v>
      </c>
      <c r="P86" s="12">
        <f t="shared" si="24"/>
        <v>28.559999999999995</v>
      </c>
      <c r="Q86" s="13">
        <f t="shared" si="25"/>
        <v>1.6838214925171506E-3</v>
      </c>
      <c r="R86" s="13">
        <f t="shared" si="26"/>
        <v>4.8089941826289812E-2</v>
      </c>
    </row>
    <row r="87" spans="1:18" x14ac:dyDescent="0.25">
      <c r="A87" s="15">
        <v>86</v>
      </c>
      <c r="B87" s="6">
        <v>20.5</v>
      </c>
      <c r="C87" s="12">
        <f t="shared" si="36"/>
        <v>3.0000000000001137E-2</v>
      </c>
      <c r="D87" s="13">
        <f>C87^2</f>
        <v>9.0000000000006817E-4</v>
      </c>
      <c r="E87" s="13">
        <f t="shared" si="34"/>
        <v>8.9000000000006749E-4</v>
      </c>
      <c r="F87" s="13">
        <f t="shared" si="37"/>
        <v>1.7444000000001322E-3</v>
      </c>
      <c r="G87" s="13">
        <f>(F87/20.47)*100%</f>
        <v>8.5217391304354283E-5</v>
      </c>
      <c r="H87" s="13"/>
      <c r="I87" s="6">
        <v>1.4</v>
      </c>
      <c r="J87" s="12">
        <f t="shared" si="39"/>
        <v>-3.0000000000000027E-2</v>
      </c>
      <c r="K87" s="13">
        <f t="shared" si="22"/>
        <v>9.000000000000016E-4</v>
      </c>
      <c r="L87" s="13">
        <f t="shared" si="40"/>
        <v>8.9000000000000158E-4</v>
      </c>
      <c r="M87" s="13">
        <f t="shared" si="38"/>
        <v>1.7444000000000032E-3</v>
      </c>
      <c r="N87" s="13">
        <f t="shared" si="35"/>
        <v>1.219860139860142E-3</v>
      </c>
      <c r="P87" s="12">
        <f t="shared" si="24"/>
        <v>28.7</v>
      </c>
      <c r="Q87" s="13">
        <f t="shared" si="25"/>
        <v>1.3050775311644963E-3</v>
      </c>
      <c r="R87" s="13">
        <f t="shared" si="26"/>
        <v>3.745572514442104E-2</v>
      </c>
    </row>
    <row r="88" spans="1:18" x14ac:dyDescent="0.25">
      <c r="A88" s="15">
        <v>87</v>
      </c>
      <c r="B88" s="6">
        <v>20.5</v>
      </c>
      <c r="C88" s="12">
        <f t="shared" si="36"/>
        <v>3.0000000000001137E-2</v>
      </c>
      <c r="D88" s="13">
        <f t="shared" si="18"/>
        <v>9.0000000000006817E-4</v>
      </c>
      <c r="E88" s="13">
        <f t="shared" si="34"/>
        <v>8.9000000000006749E-4</v>
      </c>
      <c r="F88" s="13">
        <f t="shared" si="37"/>
        <v>1.7444000000001322E-3</v>
      </c>
      <c r="G88" s="13">
        <f t="shared" ref="G88:G91" si="41">(F88/20.47)*100%</f>
        <v>8.5217391304354283E-5</v>
      </c>
      <c r="H88" s="13"/>
      <c r="I88" s="6">
        <v>1.4</v>
      </c>
      <c r="J88" s="12">
        <f t="shared" si="39"/>
        <v>-3.0000000000000027E-2</v>
      </c>
      <c r="K88" s="13">
        <f t="shared" si="22"/>
        <v>9.000000000000016E-4</v>
      </c>
      <c r="L88" s="13">
        <f t="shared" si="40"/>
        <v>8.9000000000000158E-4</v>
      </c>
      <c r="M88" s="13">
        <f t="shared" si="38"/>
        <v>1.7444000000000032E-3</v>
      </c>
      <c r="N88" s="13">
        <f t="shared" si="35"/>
        <v>1.219860139860142E-3</v>
      </c>
      <c r="P88" s="12">
        <f t="shared" si="24"/>
        <v>28.7</v>
      </c>
      <c r="Q88" s="13">
        <f t="shared" si="25"/>
        <v>1.3050775311644963E-3</v>
      </c>
      <c r="R88" s="13">
        <f t="shared" si="26"/>
        <v>3.745572514442104E-2</v>
      </c>
    </row>
    <row r="89" spans="1:18" x14ac:dyDescent="0.25">
      <c r="A89" s="15">
        <v>88</v>
      </c>
      <c r="B89" s="6">
        <v>20.55</v>
      </c>
      <c r="C89" s="12">
        <f>B89-20.47</f>
        <v>8.0000000000001847E-2</v>
      </c>
      <c r="D89" s="13">
        <f t="shared" si="18"/>
        <v>6.4000000000002952E-3</v>
      </c>
      <c r="E89" s="13">
        <f t="shared" si="34"/>
        <v>6.3288888888891805E-3</v>
      </c>
      <c r="F89" s="13">
        <f t="shared" si="37"/>
        <v>1.2404622222222793E-2</v>
      </c>
      <c r="G89" s="13">
        <f t="shared" si="41"/>
        <v>6.0599033816427907E-4</v>
      </c>
      <c r="H89" s="13"/>
      <c r="I89" s="6">
        <v>1.4</v>
      </c>
      <c r="J89" s="12">
        <f t="shared" si="39"/>
        <v>-3.0000000000000027E-2</v>
      </c>
      <c r="K89" s="13">
        <f t="shared" si="22"/>
        <v>9.000000000000016E-4</v>
      </c>
      <c r="L89" s="13">
        <f t="shared" si="40"/>
        <v>8.9000000000000158E-4</v>
      </c>
      <c r="M89" s="13">
        <f t="shared" si="38"/>
        <v>1.7444000000000032E-3</v>
      </c>
      <c r="N89" s="13">
        <f t="shared" si="35"/>
        <v>1.219860139860142E-3</v>
      </c>
      <c r="P89" s="12">
        <f t="shared" si="24"/>
        <v>28.77</v>
      </c>
      <c r="Q89" s="13">
        <f t="shared" si="25"/>
        <v>1.8258504780244212E-3</v>
      </c>
      <c r="R89" s="13">
        <f t="shared" si="26"/>
        <v>5.2529718252762599E-2</v>
      </c>
    </row>
    <row r="90" spans="1:18" x14ac:dyDescent="0.25">
      <c r="A90" s="15">
        <v>89</v>
      </c>
      <c r="B90" s="6">
        <v>20.65</v>
      </c>
      <c r="C90" s="12">
        <f t="shared" ref="C90:C91" si="42">B90-20.47</f>
        <v>0.17999999999999972</v>
      </c>
      <c r="D90" s="13">
        <f t="shared" si="18"/>
        <v>3.2399999999999901E-2</v>
      </c>
      <c r="E90" s="13">
        <f t="shared" si="34"/>
        <v>3.2039999999999902E-2</v>
      </c>
      <c r="F90" s="13">
        <f t="shared" si="37"/>
        <v>6.279839999999981E-2</v>
      </c>
      <c r="G90" s="13">
        <f t="shared" si="41"/>
        <v>3.0678260869565128E-3</v>
      </c>
      <c r="H90" s="13"/>
      <c r="I90" s="6">
        <v>1.4</v>
      </c>
      <c r="J90" s="12">
        <f t="shared" si="39"/>
        <v>-3.0000000000000027E-2</v>
      </c>
      <c r="K90" s="13">
        <f t="shared" si="22"/>
        <v>9.000000000000016E-4</v>
      </c>
      <c r="L90" s="13">
        <f t="shared" si="40"/>
        <v>8.9000000000000158E-4</v>
      </c>
      <c r="M90" s="13">
        <f t="shared" si="38"/>
        <v>1.7444000000000032E-3</v>
      </c>
      <c r="N90" s="13">
        <f t="shared" si="35"/>
        <v>1.219860139860142E-3</v>
      </c>
      <c r="P90" s="12">
        <f t="shared" si="24"/>
        <v>28.909999999999997</v>
      </c>
      <c r="Q90" s="13">
        <f t="shared" si="25"/>
        <v>4.2876862268166546E-3</v>
      </c>
      <c r="R90" s="13">
        <f t="shared" si="26"/>
        <v>0.12395700881726947</v>
      </c>
    </row>
    <row r="91" spans="1:18" x14ac:dyDescent="0.25">
      <c r="A91" s="14">
        <v>90</v>
      </c>
      <c r="B91" s="6">
        <v>20.7</v>
      </c>
      <c r="C91" s="12">
        <f t="shared" si="42"/>
        <v>0.23000000000000043</v>
      </c>
      <c r="D91" s="13">
        <f t="shared" si="18"/>
        <v>5.2900000000000197E-2</v>
      </c>
      <c r="E91" s="13">
        <f t="shared" si="34"/>
        <v>5.2312222222222413E-2</v>
      </c>
      <c r="F91" s="13">
        <f t="shared" si="37"/>
        <v>0.10253195555555593</v>
      </c>
      <c r="G91" s="13">
        <f t="shared" si="41"/>
        <v>5.0088888888889073E-3</v>
      </c>
      <c r="H91" s="13"/>
      <c r="I91" s="6">
        <v>1.4</v>
      </c>
      <c r="J91" s="12">
        <f t="shared" si="39"/>
        <v>-3.0000000000000027E-2</v>
      </c>
      <c r="K91" s="13">
        <f t="shared" si="22"/>
        <v>9.000000000000016E-4</v>
      </c>
      <c r="L91" s="13">
        <f t="shared" si="40"/>
        <v>8.9000000000000158E-4</v>
      </c>
      <c r="M91" s="13">
        <f t="shared" si="38"/>
        <v>1.7444000000000032E-3</v>
      </c>
      <c r="N91" s="13">
        <f t="shared" si="35"/>
        <v>1.219860139860142E-3</v>
      </c>
      <c r="P91" s="12">
        <f t="shared" si="24"/>
        <v>28.979999999999997</v>
      </c>
      <c r="Q91" s="13">
        <f t="shared" si="25"/>
        <v>6.2287490287490496E-3</v>
      </c>
      <c r="R91" s="13">
        <f t="shared" si="26"/>
        <v>0.18050914685314745</v>
      </c>
    </row>
    <row r="92" spans="1:18" x14ac:dyDescent="0.25">
      <c r="A92" s="10" t="s">
        <v>103</v>
      </c>
      <c r="B92" s="11">
        <f>AVERAGE(B2:B91)</f>
        <v>20.472444444444438</v>
      </c>
      <c r="I92" s="11">
        <f>AVERAGE(I2:I91)</f>
        <v>1.4305555555555574</v>
      </c>
      <c r="P92" s="18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Lapa1</vt:lpstr>
      <vt:lpstr>Lapa2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Inese Birzniece</dc:creator>
  <cp:lastModifiedBy>Sarmīte</cp:lastModifiedBy>
  <dcterms:created xsi:type="dcterms:W3CDTF">2020-11-07T11:22:21Z</dcterms:created>
  <dcterms:modified xsi:type="dcterms:W3CDTF">2020-11-23T18:32:07Z</dcterms:modified>
</cp:coreProperties>
</file>